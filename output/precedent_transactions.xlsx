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5f7bd3f87345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Dashboard" sheetId="1" r:id="R925b89e073564e03"/>
    <x:sheet xmlns:r="http://schemas.openxmlformats.org/officeDocument/2006/relationships" name="Precedent Transactions" sheetId="2" r:id="R87c46caacbb54fdd"/>
    <x:sheet xmlns:r="http://schemas.openxmlformats.org/officeDocument/2006/relationships" name="Deal Card" sheetId="3" r:id="Rdbebe619fd724037"/>
    <x:sheet xmlns:r="http://schemas.openxmlformats.org/officeDocument/2006/relationships" name="Sources &amp; QA" sheetId="4" r:id="R2e51e29854c740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[Red](#,##0);-"/>
    <x:numFmt numFmtId="201" formatCode="dd-mmm-yyyy"/>
    <x:numFmt numFmtId="202" formatCode="0.0%;[Red](0.0%);-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b/>
      <x:sz val="11"/>
      <x:color rgb="FF10243E"/>
      <x:name val="Carlito"/>
    </x:font>
    <x:font>
      <x:sz val="11"/>
      <x:color rgb="FF008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  <x:border>
      <x:bottom style="thin">
        <x:color rgb="FFCCD5DF"/>
      </x:bottom>
    </x:border>
    <x:border>
      <x:top style="thin">
        <x:color rgb="FFCCD5DF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0" fontId="5" fillId="5" borderId="2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201" fontId="0" fillId="0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7" fillId="0" borderId="0" xfId="0" applyNumberFormat="1" applyFont="1" applyFill="1" applyBorder="1"/>
    <x:xf numFmtId="200" fontId="7" fillId="0" borderId="0" xfId="0" applyNumberFormat="1" applyFont="1" applyFill="1" applyBorder="1"/>
    <x:xf numFmtId="202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4" xfId="0" applyNumberFormat="1" applyFont="1" applyFill="1" applyBorder="1"/>
    <x:xf numFmtId="0" fontId="8" fillId="3" borderId="2" xfId="0" applyNumberFormat="1" applyFont="1" applyFill="1" applyBorder="1"/>
    <x:xf numFmtId="0" fontId="8" fillId="3" borderId="5" xfId="0" applyNumberFormat="1" applyFont="1" applyFill="1" applyBorder="1"/>
    <x:xf numFmtId="0" fontId="9" fillId="0" borderId="0" xfId="0" applyNumberFormat="1" applyFont="1" applyFill="1" applyBorder="1"/>
    <x:xf numFmtId="0" fontId="9" fillId="0" borderId="4" xfId="0" applyNumberFormat="1" applyFont="1" applyFill="1" applyBorder="1"/>
    <x:xf numFmtId="0" fontId="9" fillId="0" borderId="2" xfId="0" applyNumberFormat="1" applyFont="1" applyFill="1" applyBorder="1"/>
    <x:xf numFmtId="0" fontId="9" fillId="0" borderId="5" xfId="0" applyNumberFormat="1" applyFont="1" applyFill="1" applyBorder="1"/>
    <x:xf numFmtId="0" fontId="9" fillId="0" borderId="4" xfId="0" applyNumberFormat="1" applyFont="1" applyFill="1" applyBorder="1" applyAlignment="1">
      <x:alignment wrapText="1"/>
    </x:xf>
    <x:xf numFmtId="0" fontId="9" fillId="0" borderId="2" xfId="0" applyNumberFormat="1" applyFont="1" applyFill="1" applyBorder="1" applyAlignment="1">
      <x:alignment wrapText="1"/>
    </x:xf>
    <x:xf numFmtId="0" fontId="9" fillId="0" borderId="5" xfId="0" applyNumberFormat="1" applyFont="1" applyFill="1" applyBorder="1" applyAlignment="1">
      <x:alignment wrapText="1"/>
    </x:xf>
    <x:xf numFmtId="201" fontId="9" fillId="0" borderId="2" xfId="0" applyNumberFormat="1" applyFont="1" applyFill="1" applyBorder="1" applyAlignment="1">
      <x:alignment wrapText="1"/>
    </x:xf>
    <x:xf numFmtId="200" fontId="9" fillId="0" borderId="2" xfId="0" applyNumberFormat="1" applyFont="1" applyFill="1" applyBorder="1" applyAlignment="1">
      <x:alignment wrapText="1"/>
    </x:xf>
    <x:xf numFmtId="202" fontId="9" fillId="0" borderId="2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vertical="center" wrapText="1"/>
    </x:xf>
    <x:xf numFmtId="201" fontId="9" fillId="0" borderId="2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vertical="center" wrapText="1"/>
    </x:xf>
    <x:xf numFmtId="200" fontId="9" fillId="0" borderId="2" xfId="0" applyNumberFormat="1" applyFont="1" applyFill="1" applyBorder="1" applyAlignment="1">
      <x:alignment vertical="center" wrapText="1"/>
    </x:xf>
    <x:xf numFmtId="202" fontId="9" fillId="0" borderId="2" xfId="0" applyNumberFormat="1" applyFont="1" applyFill="1" applyBorder="1" applyAlignment="1">
      <x:alignment vertical="center" wrapText="1"/>
    </x:xf>
    <x:xf numFmtId="0" fontId="9" fillId="0" borderId="5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2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bdb73120024a8a" /><Relationship Type="http://schemas.openxmlformats.org/officeDocument/2006/relationships/theme" Target="/xl/theme/theme1.xml" Id="R7023291bedc64560" /><Relationship Type="http://schemas.openxmlformats.org/officeDocument/2006/relationships/sharedStrings" Target="/xl/sharedStrings.xml" Id="R7e7dfff1b7994bc9" /><Relationship Type="http://schemas.openxmlformats.org/officeDocument/2006/relationships/worksheet" Target="/xl/worksheets/sheet1.xml" Id="R925b89e073564e03" /><Relationship Type="http://schemas.openxmlformats.org/officeDocument/2006/relationships/worksheet" Target="/xl/worksheets/sheet2.xml" Id="R87c46caacbb54fdd" /><Relationship Type="http://schemas.openxmlformats.org/officeDocument/2006/relationships/worksheet" Target="/xl/worksheets/sheet3.xml" Id="Rdbebe619fd724037" /><Relationship Type="http://schemas.openxmlformats.org/officeDocument/2006/relationships/worksheet" Target="/xl/worksheets/sheet4.xml" Id="R2e51e29854c74032" /></Relationships>
</file>

<file path=xl/tables/table1.xml><?xml version="1.0" encoding="utf-8"?>
<x:table xmlns:x="http://schemas.openxmlformats.org/spreadsheetml/2006/main" id="1" name="PrecedentTransactionsTable" displayName="PrecedentTransactionsTable" ref="A6:T7" headerRowCount="1">
  <x:tableColumns count="20">
    <x:tableColumn id="1" name="Deal ID"/>
    <x:tableColumn id="2" name="Announced Date"/>
    <x:tableColumn id="3" name="Type"/>
    <x:tableColumn id="4" name="Status"/>
    <x:tableColumn id="5" name="Target / Issuer"/>
    <x:tableColumn id="6" name="Acquirer / Investor"/>
    <x:tableColumn id="7" name="Sector"/>
    <x:tableColumn id="8" name="Geography"/>
    <x:tableColumn id="9" name="Transaction Value"/>
    <x:tableColumn id="10" name="Currency"/>
    <x:tableColumn id="11" name="Stake %"/>
    <x:tableColumn id="12" name="Instrument"/>
    <x:tableColumn id="13" name="Rationale / Use of Proceeds"/>
    <x:tableColumn id="14" name="Score"/>
    <x:tableColumn id="15" name="Evidence"/>
    <x:tableColumn id="16" name="Coverage"/>
    <x:tableColumn id="17" name="Source"/>
    <x:tableColumn id="18" name="Source URL"/>
    <x:tableColumn id="19" name="Headline"/>
    <x:tableColumn id="20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427b9c5e0b4b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24" hidden="0" customWidth="1"/>
    <x:col min="6" max="6" width="15" hidden="0" customWidth="1"/>
    <x:col min="7" max="7" width="15" hidden="0" customWidth="1"/>
    <x:col min="8" max="8" width="22" hidden="0" customWidth="1"/>
  </x:cols>
  <x:sheetData>
    <x:row r="1" ht="32" customHeight="1">
      <x:c r="A1" s="3" t="str">
        <x:v>DEAL MARKETS COPILOT — PRECEDENT TRANSACTIONS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Screening-grade database | As of 2026-06-27 | Verify primary documents before use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</x:row>
    <x:row r="6" ht="30" customHeight="1">
      <x:c r="A6" s="29" t="str">
        <x:v>Total deals</x:v>
      </x:c>
      <x:c r="B6" s="30" t="str">
        <x:v>M&amp;A</x:v>
      </x:c>
      <x:c r="C6" s="30" t="str">
        <x:v>ECM</x:v>
      </x:c>
      <x:c r="D6" s="30" t="str">
        <x:v>DCM</x:v>
      </x:c>
      <x:c r="E6" s="30" t="str">
        <x:v>Disclosed value</x:v>
      </x:c>
      <x:c r="F6" s="30" t="str">
        <x:v>High score (≥7)</x:v>
      </x:c>
      <x:c r="G6" s="30" t="str">
        <x:v>Missing value</x:v>
      </x:c>
      <x:c r="H6" s="31" t="str">
        <x:v>QA status</x:v>
      </x:c>
    </x:row>
    <x:row r="7" ht="32" customHeight="1">
      <x:c r="A7" s="32" t="n">
        <x:f>COUNTA('Precedent Transactions'!$A$7:$A$506)</x:f>
        <x:v>1</x:v>
      </x:c>
      <x:c r="B7" s="33" t="n">
        <x:f>COUNTIF('Precedent Transactions'!$C$7:$C$506,"M&amp;A")</x:f>
        <x:v>0</x:v>
      </x:c>
      <x:c r="C7" s="33" t="n">
        <x:f>COUNTIF('Precedent Transactions'!$C$7:$C$506,"ECM")</x:f>
        <x:v>0</x:v>
      </x:c>
      <x:c r="D7" s="33" t="n">
        <x:f>COUNTIF('Precedent Transactions'!$C$7:$C$506,"DCM")</x:f>
        <x:v>1</x:v>
      </x:c>
      <x:c r="E7" s="34" t="n">
        <x:f>SUM('Precedent Transactions'!$I$7:$I$506)</x:f>
        <x:v>5000000000</x:v>
      </x:c>
      <x:c r="F7" s="33" t="n">
        <x:f>COUNTIF('Precedent Transactions'!$N$7:$N$506,"&gt;=7")</x:f>
        <x:v>0</x:v>
      </x:c>
      <x:c r="G7" s="33" t="n">
        <x:f>COUNTBLANK('Precedent Transactions'!$I$7:$I$506)-COUNTBLANK('Precedent Transactions'!$A$7:$A$506)</x:f>
        <x:v>0</x:v>
      </x:c>
      <x:c r="H7" s="35" t="str">
        <x:f>'Sources &amp; QA'!$F$29</x:f>
        <x:v>OK</x:v>
      </x:c>
    </x:row>
    <x:row r="10" ht="22" customHeight="1">
      <x:c r="A10" s="9" t="str">
        <x:v>LATEST TRANSACTIONS</x:v>
      </x:c>
      <x:c r="B10" s="9"/>
      <x:c r="C10" s="9"/>
      <x:c r="D10" s="9"/>
      <x:c r="E10" s="9"/>
      <x:c r="F10" s="9"/>
      <x:c r="G10" s="9"/>
      <x:c r="H10" s="9"/>
    </x:row>
    <x:row r="12" ht="30" customHeight="1">
      <x:c r="A12" s="17" t="str">
        <x:v>Date</x:v>
      </x:c>
      <x:c r="B12" s="18" t="str">
        <x:v>Type</x:v>
      </x:c>
      <x:c r="C12" s="18" t="str">
        <x:v>Status</x:v>
      </x:c>
      <x:c r="D12" s="18" t="str">
        <x:v>Target / Issuer</x:v>
      </x:c>
      <x:c r="E12" s="18" t="str">
        <x:v>Acquirer</x:v>
      </x:c>
      <x:c r="F12" s="18" t="str">
        <x:v>Value</x:v>
      </x:c>
      <x:c r="G12" s="18" t="str">
        <x:v>Currency</x:v>
      </x:c>
      <x:c r="H12" s="18" t="str">
        <x:v>Source</x:v>
      </x:c>
    </x:row>
    <x:row r="13">
      <x:c r="A13" s="40" t="n">
        <x:v>46197</x:v>
      </x:c>
      <x:c r="B13" s="41" t="str">
        <x:v>DCM</x:v>
      </x:c>
      <x:c r="C13" s="41" t="str">
        <x:v>Announced</x:v>
      </x:c>
      <x:c r="D13" s="42" t="str">
        <x:v>Selectel</x:v>
      </x:c>
      <x:c r="E13" s="42" t="str">
        <x:v>Not applicable</x:v>
      </x:c>
      <x:c r="F13" s="43" t="n">
        <x:v>5000000000</x:v>
      </x:c>
      <x:c r="G13" s="42" t="str">
        <x:v>RUB</x:v>
      </x:c>
      <x:c r="H13" s="42" t="str">
        <x:v>ComNews.ru</x:v>
      </x:c>
    </x:row>
    <x:row r="14">
      <x:c r="A14" s="44"/>
      <x:c r="B14" s="42"/>
      <x:c r="C14" s="42"/>
      <x:c r="D14" s="42"/>
      <x:c r="E14" s="42"/>
      <x:c r="F14" s="42"/>
      <x:c r="G14" s="42"/>
      <x:c r="H14" s="42"/>
    </x:row>
    <x:row r="15">
      <x:c r="A15" s="44"/>
      <x:c r="B15" s="42"/>
      <x:c r="C15" s="42"/>
      <x:c r="D15" s="42"/>
      <x:c r="E15" s="42"/>
      <x:c r="F15" s="42"/>
      <x:c r="G15" s="42"/>
      <x:c r="H15" s="42"/>
    </x:row>
    <x:row r="16">
      <x:c r="A16" s="44"/>
      <x:c r="B16" s="42"/>
      <x:c r="C16" s="42"/>
      <x:c r="D16" s="42"/>
      <x:c r="E16" s="42"/>
      <x:c r="F16" s="42"/>
      <x:c r="G16" s="42"/>
      <x:c r="H16" s="42"/>
    </x:row>
    <x:row r="17">
      <x:c r="A17" s="44"/>
      <x:c r="B17" s="42"/>
      <x:c r="C17" s="42"/>
      <x:c r="D17" s="42"/>
      <x:c r="E17" s="42"/>
      <x:c r="F17" s="42"/>
      <x:c r="G17" s="42"/>
      <x:c r="H17" s="42"/>
    </x:row>
    <x:row r="18">
      <x:c r="A18" s="44"/>
      <x:c r="B18" s="42"/>
      <x:c r="C18" s="42"/>
      <x:c r="D18" s="42"/>
      <x:c r="E18" s="42"/>
      <x:c r="F18" s="42"/>
      <x:c r="G18" s="42"/>
      <x:c r="H18" s="42"/>
    </x:row>
    <x:row r="19">
      <x:c r="A19" s="44"/>
      <x:c r="B19" s="42"/>
      <x:c r="C19" s="42"/>
      <x:c r="D19" s="42"/>
      <x:c r="E19" s="42"/>
      <x:c r="F19" s="42"/>
      <x:c r="G19" s="42"/>
      <x:c r="H19" s="42"/>
    </x:row>
    <x:row r="20">
      <x:c r="A20" s="44"/>
      <x:c r="B20" s="42"/>
      <x:c r="C20" s="42"/>
      <x:c r="D20" s="42"/>
      <x:c r="E20" s="42"/>
      <x:c r="F20" s="42"/>
      <x:c r="G20" s="42"/>
      <x:c r="H20" s="42"/>
    </x:row>
    <x:row r="21">
      <x:c r="A21" s="44"/>
      <x:c r="B21" s="42"/>
      <x:c r="C21" s="42"/>
      <x:c r="D21" s="42"/>
      <x:c r="E21" s="42"/>
      <x:c r="F21" s="42"/>
      <x:c r="G21" s="42"/>
      <x:c r="H21" s="42"/>
    </x:row>
    <x:row r="22">
      <x:c r="A22" s="44"/>
      <x:c r="B22" s="42"/>
      <x:c r="C22" s="42"/>
      <x:c r="D22" s="42"/>
      <x:c r="E22" s="42"/>
      <x:c r="F22" s="42"/>
      <x:c r="G22" s="42"/>
      <x:c r="H22" s="42"/>
    </x:row>
  </x:sheetData>
  <x:mergeCells>
    <x:mergeCell ref="A1:H1"/>
    <x:mergeCell ref="A2:H2"/>
    <x:mergeCell ref="A4:H4"/>
    <x:mergeCell ref="A10:H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0" hidden="0" customWidth="1"/>
    <x:col min="4" max="4" width="14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  <x:col min="9" max="9" width="18" hidden="0" customWidth="1"/>
    <x:col min="10" max="10" width="10" hidden="0" customWidth="1"/>
    <x:col min="11" max="11" width="11" hidden="0" customWidth="1"/>
    <x:col min="12" max="12" width="22" hidden="0" customWidth="1"/>
    <x:col min="13" max="13" width="34" hidden="0" customWidth="1"/>
    <x:col min="14" max="14" width="9" hidden="0" customWidth="1"/>
    <x:col min="15" max="15" width="13" hidden="0" customWidth="1"/>
    <x:col min="16" max="16" width="14" hidden="0" customWidth="1"/>
    <x:col min="17" max="17" width="20" hidden="0" customWidth="1"/>
    <x:col min="18" max="18" width="42" hidden="0" customWidth="1"/>
    <x:col min="19" max="19" width="52" hidden="0" customWidth="1"/>
    <x:col min="20" max="20" width="44" hidden="0" customWidth="1"/>
  </x:cols>
  <x:sheetData>
    <x:row r="1" ht="32" customHeight="1">
      <x:c r="A1" s="3" t="str">
        <x:v>PRECEDENT TRANSACTIONS DATABASE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5" customHeight="1">
      <x:c r="A2" s="6" t="str">
        <x:v>One row per source-backed transaction signal; blank economics mean not publicly disclosed, not zero</x:v>
      </x:c>
      <x:c r="B2" s="6"/>
      <x:c r="C2" s="6"/>
      <x:c r="D2" s="6"/>
      <x:c r="E2" s="6"/>
      <x:c r="F2" s="6"/>
      <x:c r="G2" s="6"/>
      <x:c r="H2" s="6"/>
    </x:row>
    <x:row r="4">
      <x:c r="A4" s="47" t="str">
        <x:v>Legend: source/imported fields in green text · calculated dashboard outputs in black · screening limitations highlighted in notes</x:v>
      </x:c>
      <x:c r="B4" s="47"/>
      <x:c r="C4" s="47"/>
      <x:c r="D4" s="47"/>
      <x:c r="E4" s="47"/>
      <x:c r="F4" s="47"/>
      <x:c r="G4" s="47"/>
      <x:c r="H4" s="47"/>
      <x:c r="I4" s="47"/>
      <x:c r="J4" s="47"/>
      <x:c r="K4" s="47"/>
      <x:c r="L4" s="47"/>
      <x:c r="M4" s="47"/>
      <x:c r="N4" s="47"/>
      <x:c r="O4" s="47"/>
      <x:c r="P4" s="47"/>
      <x:c r="Q4" s="47"/>
      <x:c r="R4" s="47"/>
      <x:c r="S4" s="47"/>
      <x:c r="T4" s="47"/>
    </x:row>
    <x:row r="6" ht="30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Status</x:v>
      </x:c>
      <x:c r="E6" s="18" t="str">
        <x:v>Target / Issuer</x:v>
      </x:c>
      <x:c r="F6" s="18" t="str">
        <x:v>Acquirer / Investor</x:v>
      </x:c>
      <x:c r="G6" s="18" t="str">
        <x:v>Sector</x:v>
      </x:c>
      <x:c r="H6" s="18" t="str">
        <x:v>Geography</x:v>
      </x:c>
      <x:c r="I6" s="18" t="str">
        <x:v>Transaction Value</x:v>
      </x:c>
      <x:c r="J6" s="18" t="str">
        <x:v>Currency</x:v>
      </x:c>
      <x:c r="K6" s="18" t="str">
        <x:v>Stake %</x:v>
      </x:c>
      <x:c r="L6" s="18" t="str">
        <x:v>Instrument</x:v>
      </x:c>
      <x:c r="M6" s="18" t="str">
        <x:v>Rationale / Use of Proceeds</x:v>
      </x:c>
      <x:c r="N6" s="18" t="str">
        <x:v>Score</x:v>
      </x:c>
      <x:c r="O6" s="18" t="str">
        <x:v>Evidence</x:v>
      </x:c>
      <x:c r="P6" s="18" t="str">
        <x:v>Coverage</x:v>
      </x:c>
      <x:c r="Q6" s="18" t="str">
        <x:v>Source</x:v>
      </x:c>
      <x:c r="R6" s="18" t="str">
        <x:v>Source URL</x:v>
      </x:c>
      <x:c r="S6" s="18" t="str">
        <x:v>Headline</x:v>
      </x:c>
      <x:c r="T6" s="19" t="str">
        <x:v>Notes</x:v>
      </x:c>
    </x:row>
    <x:row r="7">
      <x:c r="A7" s="48" t="str">
        <x:v>DL-bec65812ff9fcfae</x:v>
      </x:c>
      <x:c r="B7" s="49" t="n">
        <x:v>46197</x:v>
      </x:c>
      <x:c r="C7" s="48" t="str">
        <x:v>DCM</x:v>
      </x:c>
      <x:c r="D7" s="48" t="str">
        <x:v>Announced</x:v>
      </x:c>
      <x:c r="E7" s="48" t="str">
        <x:v>Selectel</x:v>
      </x:c>
      <x:c r="F7" s="48" t="str">
        <x:v>Not applicable</x:v>
      </x:c>
      <x:c r="G7" s="48" t="str">
        <x:v>Not classified</x:v>
      </x:c>
      <x:c r="H7" s="48" t="str">
        <x:v>Russia</x:v>
      </x:c>
      <x:c r="I7" s="50" t="n">
        <x:v>5000000000</x:v>
      </x:c>
      <x:c r="J7" s="48" t="str">
        <x:v>RUB</x:v>
      </x:c>
      <x:c r="K7" s="51"/>
      <x:c r="L7" s="48" t="str">
        <x:v>Bonds</x:v>
      </x:c>
      <x:c r="M7" s="52" t="str">
        <x:v>рефинансирования и инвестиций</x:v>
      </x:c>
      <x:c r="N7" s="48" t="n">
        <x:v>4</x:v>
      </x:c>
      <x:c r="O7" s="48" t="str">
        <x:v>unverified</x:v>
      </x:c>
      <x:c r="P7" s="48" t="str"/>
      <x:c r="Q7" s="48" t="str">
        <x:v>ComNews.ru</x:v>
      </x:c>
      <x:c r="R7" s="48" t="str">
        <x:v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x:v>
      </x:c>
      <x:c r="S7" s="52" t="str">
        <x:v>Selectel разместит облигации на 5 млрд руб. для рефинансирования и инвестиций - ComNews.ru</x:v>
      </x:c>
      <x:c r="T7" s="52" t="str">
        <x:v>Screening record; verify against primary transaction documents.</x:v>
      </x:c>
    </x:row>
  </x:sheetData>
  <x:mergeCells>
    <x:mergeCell ref="A1:T1"/>
    <x:mergeCell ref="A2:H2"/>
    <x:mergeCell ref="A4:T4"/>
  </x:mergeCells>
  <x:conditionalFormatting sqref="N7:N7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d427b9c5e0b4b3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70" hidden="0" customWidth="1"/>
  </x:cols>
  <x:sheetData>
    <x:row r="1" ht="32" customHeight="1">
      <x:c r="A1" s="3" t="str">
        <x:v>DEAL CARD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Latest highest-priority transaction from the database; blanks are explicitly labelled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DCM | Announced</x:v>
      </x:c>
      <x:c r="B4" s="9"/>
      <x:c r="C4" s="9"/>
      <x:c r="D4" s="9"/>
      <x:c r="E4" s="9"/>
      <x:c r="F4" s="9"/>
      <x:c r="G4" s="9"/>
      <x:c r="H4" s="9"/>
    </x:row>
    <x:row r="6" ht="25" customHeight="1">
      <x:c r="A6" s="54" t="str">
        <x:v>Headline</x:v>
      </x:c>
      <x:c r="B6" s="67" t="str">
        <x:v>Selectel разместит облигации на 5 млрд руб. для рефинансирования и инвестиций - ComNews.ru</x:v>
      </x:c>
    </x:row>
    <x:row r="7" ht="25" customHeight="1">
      <x:c r="A7" s="55" t="str">
        <x:v>Announced date</x:v>
      </x:c>
      <x:c r="B7" s="68" t="n">
        <x:v>46197</x:v>
      </x:c>
    </x:row>
    <x:row r="8" ht="25" customHeight="1">
      <x:c r="A8" s="55" t="str">
        <x:v>Target / Issuer</x:v>
      </x:c>
      <x:c r="B8" s="69" t="str">
        <x:v>Selectel</x:v>
      </x:c>
    </x:row>
    <x:row r="9" ht="25" customHeight="1">
      <x:c r="A9" s="55" t="str">
        <x:v>Acquirer / Investor</x:v>
      </x:c>
      <x:c r="B9" s="69" t="str">
        <x:v>Not applicable</x:v>
      </x:c>
    </x:row>
    <x:row r="10" ht="25" customHeight="1">
      <x:c r="A10" s="55" t="str">
        <x:v>Transaction value</x:v>
      </x:c>
      <x:c r="B10" s="70" t="n">
        <x:v>5000000000</x:v>
      </x:c>
    </x:row>
    <x:row r="11" ht="25" customHeight="1">
      <x:c r="A11" s="55" t="str">
        <x:v>Currency</x:v>
      </x:c>
      <x:c r="B11" s="69" t="str">
        <x:v>RUB</x:v>
      </x:c>
    </x:row>
    <x:row r="12" ht="25" customHeight="1">
      <x:c r="A12" s="55" t="str">
        <x:v>Stake</x:v>
      </x:c>
      <x:c r="B12" s="71"/>
    </x:row>
    <x:row r="13" ht="25" customHeight="1">
      <x:c r="A13" s="55" t="str">
        <x:v>Instrument</x:v>
      </x:c>
      <x:c r="B13" s="69" t="str">
        <x:v>Bonds</x:v>
      </x:c>
    </x:row>
    <x:row r="14" ht="25" customHeight="1">
      <x:c r="A14" s="55" t="str">
        <x:v>Sector / geography</x:v>
      </x:c>
      <x:c r="B14" s="69" t="str">
        <x:v>Not classified / Russia</x:v>
      </x:c>
    </x:row>
    <x:row r="15" ht="25" customHeight="1">
      <x:c r="A15" s="55" t="str">
        <x:v>Rationale / use of proceeds</x:v>
      </x:c>
      <x:c r="B15" s="69" t="str">
        <x:v>рефинансирования и инвестиций</x:v>
      </x:c>
    </x:row>
    <x:row r="16" ht="25" customHeight="1">
      <x:c r="A16" s="55" t="str">
        <x:v>Evidence / score</x:v>
      </x:c>
      <x:c r="B16" s="69" t="str">
        <x:v>unverified / 4 out of 10</x:v>
      </x:c>
    </x:row>
    <x:row r="17" ht="25" customHeight="1">
      <x:c r="A17" s="55" t="str">
        <x:v>Source</x:v>
      </x:c>
      <x:c r="B17" s="69" t="str">
        <x:v>ComNews.ru</x:v>
      </x:c>
    </x:row>
    <x:row r="18" ht="25" customHeight="1">
      <x:c r="A18" s="55" t="str">
        <x:v>Source URL</x:v>
      </x:c>
      <x:c r="B18" s="69" t="str">
        <x:v>See Precedent Transactions → Source URL</x:v>
      </x:c>
    </x:row>
    <x:row r="19" ht="25" customHeight="1">
      <x:c r="A19" s="56" t="str">
        <x:v>Analyst note</x:v>
      </x:c>
      <x:c r="B19" s="72" t="str">
        <x:v>Screening only. Confirm parties, status, consideration and deal perimeter in primary documents.</x:v>
      </x:c>
    </x:row>
  </x:sheetData>
  <x:mergeCells>
    <x:mergeCell ref="A1:H1"/>
    <x:mergeCell ref="A2:H2"/>
    <x:mergeCell ref="A4:H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48" hidden="0" customWidth="1"/>
    <x:col min="5" max="5" width="18" hidden="0" customWidth="1"/>
    <x:col min="6" max="6" width="55" hidden="0" customWidth="1"/>
  </x:cols>
  <x:sheetData>
    <x:row r="1" ht="32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Visible audit checks for completeness, uniqueness and safe source links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SOURCE REGISTER</x:v>
      </x:c>
      <x:c r="B4" s="9"/>
      <x:c r="C4" s="9"/>
      <x:c r="D4" s="9"/>
      <x:c r="E4" s="9"/>
      <x:c r="F4" s="9"/>
      <x:c r="G4" s="9"/>
      <x:c r="H4" s="9"/>
    </x:row>
    <x:row r="6" ht="30" customHeight="1">
      <x:c r="A6" s="17" t="str">
        <x:v>Deal ID</x:v>
      </x:c>
      <x:c r="B6" s="18" t="str">
        <x:v>Date</x:v>
      </x:c>
      <x:c r="C6" s="18" t="str">
        <x:v>Source</x:v>
      </x:c>
      <x:c r="D6" s="18" t="str">
        <x:v>URL</x:v>
      </x:c>
      <x:c r="E6" s="18" t="str">
        <x:v>Evidence</x:v>
      </x:c>
      <x:c r="F6" s="19" t="str">
        <x:v>Headline</x:v>
      </x:c>
    </x:row>
    <x:row r="7" ht="28" customHeight="1">
      <x:c r="A7" s="48" t="str">
        <x:v>DL-bec65812ff9fcfae</x:v>
      </x:c>
      <x:c r="B7" s="49" t="n">
        <x:v>46197</x:v>
      </x:c>
      <x:c r="C7" s="48" t="str">
        <x:v>ComNews.ru</x:v>
      </x:c>
      <x:c r="D7" s="52" t="str">
        <x:v>See Precedent Transactions → Source URL</x:v>
      </x:c>
      <x:c r="E7" s="52" t="str">
        <x:v>unverified</x:v>
      </x:c>
      <x:c r="F7" s="52" t="str">
        <x:v>Selectel разместит облигации на 5 млрд руб. для рефинансирования и инвестиций - ComNews.ru</x:v>
      </x:c>
    </x:row>
    <x:row r="20" ht="22" customHeight="1">
      <x:c r="A20" s="9" t="str">
        <x:v>DATABASE CHECKS</x:v>
      </x:c>
      <x:c r="B20" s="9"/>
      <x:c r="C20" s="9"/>
      <x:c r="D20" s="9"/>
      <x:c r="E20" s="9"/>
      <x:c r="F20" s="9"/>
      <x:c r="G20" s="9"/>
      <x:c r="H20" s="9"/>
    </x:row>
    <x:row r="22" ht="30" customHeight="1">
      <x:c r="A22" s="17" t="str">
        <x:v>Check</x:v>
      </x:c>
      <x:c r="B22" s="18" t="str">
        <x:v>Actual</x:v>
      </x:c>
      <x:c r="C22" s="18" t="str">
        <x:v>Expected</x:v>
      </x:c>
      <x:c r="D22" s="18" t="str">
        <x:v>Difference</x:v>
      </x:c>
      <x:c r="E22" s="18" t="str">
        <x:v>Tolerance</x:v>
      </x:c>
      <x:c r="F22" s="19" t="str">
        <x:v>Status</x:v>
      </x:c>
    </x:row>
    <x:row r="23">
      <x:c r="A23" t="str">
        <x:v>Duplicate deal IDs</x:v>
      </x:c>
      <x:c r="B23" t="n">
        <x:f>SUMPRODUCT(--(COUNTIF('Precedent Transactions'!$A$7:$A$7,'Precedent Transactions'!$A$7:$A$7)&gt;1))/2</x:f>
        <x:v>0</x:v>
      </x:c>
      <x:c r="C23" t="n">
        <x:v>0</x:v>
      </x:c>
      <x:c r="D23" t="n">
        <x:f>B23-C23</x:f>
        <x:v>0</x:v>
      </x:c>
      <x:c r="E23" t="n">
        <x:v>0</x:v>
      </x:c>
      <x:c r="F23" t="str">
        <x:f>IF(ABS(D23)&lt;=E23,"OK","REVIEW")</x:f>
        <x:v>OK</x:v>
      </x:c>
    </x:row>
    <x:row r="24">
      <x:c r="A24" t="str">
        <x:v>Missing source URLs</x:v>
      </x:c>
      <x:c r="B24" t="n">
        <x:f>COUNTBLANK('Precedent Transactions'!$R$7:$R$7)</x:f>
        <x:v>0</x:v>
      </x:c>
      <x:c r="C24" t="n">
        <x:v>0</x:v>
      </x:c>
      <x:c r="D24" t="n">
        <x:f>B24-C24</x:f>
        <x:v>0</x:v>
      </x:c>
      <x:c r="E24" t="n">
        <x:v>0</x:v>
      </x:c>
      <x:c r="F24" t="str">
        <x:f>IF(ABS(D24)&lt;=E24,"OK","REVIEW")</x:f>
        <x:v>OK</x:v>
      </x:c>
    </x:row>
    <x:row r="25">
      <x:c r="A25" t="str">
        <x:v>Missing announced dates</x:v>
      </x:c>
      <x:c r="B25" t="n">
        <x:f>COUNTBLANK('Precedent Transactions'!$B$7:$B$7)</x:f>
        <x:v>0</x:v>
      </x:c>
      <x:c r="C25" t="n">
        <x:v>0</x:v>
      </x:c>
      <x:c r="D25" t="n">
        <x:f>B25-C25</x:f>
        <x:v>0</x:v>
      </x:c>
      <x:c r="E25" t="n">
        <x:v>0</x:v>
      </x:c>
      <x:c r="F25" t="str">
        <x:f>IF(ABS(D25)&lt;=E25,"OK","REVIEW")</x:f>
        <x:v>OK</x:v>
      </x:c>
    </x:row>
    <x:row r="26">
      <x:c r="A26" t="str">
        <x:v>Unsafe / non-HTTP URLs</x:v>
      </x:c>
      <x:c r="B26" t="n">
        <x:f>SUMPRODUCT(--(LEFT('Precedent Transactions'!$R$7:$R$7,4)&lt;&gt;"http"),--('Precedent Transactions'!$A$7:$A$7&lt;&gt;""))</x:f>
        <x:v>0</x:v>
      </x:c>
      <x:c r="C26" t="n">
        <x:v>0</x:v>
      </x:c>
      <x:c r="D26" t="n">
        <x:f>B26-C26</x:f>
        <x:v>0</x:v>
      </x:c>
      <x:c r="E26" t="n">
        <x:v>0</x:v>
      </x:c>
      <x:c r="F26" t="str">
        <x:f>IF(ABS(D26)&lt;=E26,"OK","REVIEW")</x:f>
        <x:v>OK</x:v>
      </x:c>
    </x:row>
    <x:row r="27">
      <x:c r="A27" t="str">
        <x:v>Missing target / issuer</x:v>
      </x:c>
      <x:c r="B27" t="n">
        <x:f>COUNTIF('Precedent Transactions'!$E$7:$E$7,"Not disclosed")</x:f>
        <x:v>0</x:v>
      </x:c>
      <x:c r="C27" t="n">
        <x:v>0</x:v>
      </x:c>
      <x:c r="D27" t="n">
        <x:f>B27-C27</x:f>
        <x:v>0</x:v>
      </x:c>
      <x:c r="E27" t="n">
        <x:v>0</x:v>
      </x:c>
      <x:c r="F27" t="str">
        <x:f>IF(ABS(D27)&lt;=E27,"OK","REVIEW")</x:f>
        <x:v>OK</x:v>
      </x:c>
    </x:row>
    <x:row r="29">
      <x:c r="A29" s="74" t="str">
        <x:v>Overall model status</x:v>
      </x:c>
      <x:c r="B29" s="75"/>
      <x:c r="C29" s="75"/>
      <x:c r="D29" s="75"/>
      <x:c r="E29" s="75"/>
      <x:c r="F29" s="76" t="str">
        <x:f>IF(COUNTIF(F23:F27,"REVIEW")=0,"OK","REVIEW")</x:f>
        <x:v>OK</x:v>
      </x:c>
    </x:row>
  </x:sheetData>
  <x:mergeCells>
    <x:mergeCell ref="A1:H1"/>
    <x:mergeCell ref="A2:H2"/>
    <x:mergeCell ref="A4:H4"/>
    <x:mergeCell ref="A20:H20"/>
    <x:mergeCell ref="A29:E29"/>
  </x:mergeCells>
  <x:conditionalFormatting sqref="F23:F29">
    <x:cfRule type="containsText" dxfId="0" priority="1" operator="containsText" text="OK"/>
    <x:cfRule type="containsText" dxfId="1" priority="2" operator="containsText" text="REVIEW"/>
  </x:conditionalFormatting>
  <x:pageMargins left="0.7" right="0.7" top="0.75" bottom="0.75" header="0.3" footer="0.3"/>
</x:worksheet>
</file>