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0b70b9132a4d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5d9f20c58074948"/>
    <x:sheet xmlns:r="http://schemas.openxmlformats.org/officeDocument/2006/relationships" name="Deals" sheetId="2" r:id="Ra7c7135f2a404672"/>
    <x:sheet xmlns:r="http://schemas.openxmlformats.org/officeDocument/2006/relationships" name="Financials" sheetId="3" r:id="R138a7668c060451e"/>
    <x:sheet xmlns:r="http://schemas.openxmlformats.org/officeDocument/2006/relationships" name="Multiples" sheetId="4" r:id="R05fead4af27146a4"/>
    <x:sheet xmlns:r="http://schemas.openxmlformats.org/officeDocument/2006/relationships" name="Sources &amp; QA" sheetId="5" r:id="Ra4a778dd66f84f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eab462319453c" /><Relationship Type="http://schemas.openxmlformats.org/officeDocument/2006/relationships/theme" Target="/xl/theme/theme1.xml" Id="Rc2f236e445f54d0f" /><Relationship Type="http://schemas.openxmlformats.org/officeDocument/2006/relationships/sharedStrings" Target="/xl/sharedStrings.xml" Id="Raf8442df01a3412a" /><Relationship Type="http://schemas.openxmlformats.org/officeDocument/2006/relationships/worksheet" Target="/xl/worksheets/sheet1.xml" Id="Rc5d9f20c58074948" /><Relationship Type="http://schemas.openxmlformats.org/officeDocument/2006/relationships/worksheet" Target="/xl/worksheets/sheet2.xml" Id="Ra7c7135f2a404672" /><Relationship Type="http://schemas.openxmlformats.org/officeDocument/2006/relationships/worksheet" Target="/xl/worksheets/sheet3.xml" Id="R138a7668c060451e" /><Relationship Type="http://schemas.openxmlformats.org/officeDocument/2006/relationships/worksheet" Target="/xl/worksheets/sheet4.xml" Id="R05fead4af27146a4" /><Relationship Type="http://schemas.openxmlformats.org/officeDocument/2006/relationships/worksheet" Target="/xl/worksheets/sheet5.xml" Id="Ra4a778dd66f84f16" /></Relationships>
</file>

<file path=xl/tables/table1.xml><?xml version="1.0" encoding="utf-8"?>
<x:table xmlns:x="http://schemas.openxmlformats.org/spreadsheetml/2006/main" id="1" name="DealsTable" displayName="DealsTable" ref="A6:AT67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8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M22" headerRowCount="1" totalsRowCount="0" totalsRowShown="0">
  <x:tableColumns count="13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EV / Revenue"/>
    <x:tableColumn id="10" name="EV / EBITDA"/>
    <x:tableColumn id="11" name="Eligible"/>
    <x:tableColumn id="12" name="Financial Source"/>
    <x:tableColumn id="13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I110" headerRowCount="1" totalsRowCount="0" totalsRowShown="0">
  <x:tableColumns count="9">
    <x:tableColumn id="1" name="Deal ID"/>
    <x:tableColumn id="2" name="Deal Date"/>
    <x:tableColumn id="3" name="Target / Issuer"/>
    <x:tableColumn id="4" name="Source"/>
    <x:tableColumn id="5" name="Type"/>
    <x:tableColumn id="6" name="Evidence"/>
    <x:tableColumn id="7" name="URL"/>
    <x:tableColumn id="8" name="Published"/>
    <x:tableColumn id="9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29c9f721a04f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92c1d836a442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8250c036f84e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6a7907d67b942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2026-07-02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61</x:v>
      </x:c>
      <x:c r="B7" s="26" t="n">
        <x:f>COUNTIF('Deals'!$C$7:$C$506,"M&amp;A")</x:f>
        <x:v>16</x:v>
      </x:c>
      <x:c r="C7" s="26" t="n">
        <x:f>COUNTIF('Deals'!$C$7:$C$506,"ECM")</x:f>
        <x:v>8</x:v>
      </x:c>
      <x:c r="D7" s="26" t="n">
        <x:f>COUNTIF('Deals'!$C$7:$C$506,"DCM")</x:f>
        <x:v>37</x:v>
      </x:c>
      <x:c r="E7" s="26" t="n">
        <x:f>COUNTIF('Deals'!$AN$7:$AN$506,"approved")</x:f>
        <x:v>8</x:v>
      </x:c>
      <x:c r="F7" s="26" t="n">
        <x:f>COUNTIF('Deals'!$AN$7:$AN$506,"review")</x:f>
        <x:v>35</x:v>
      </x:c>
      <x:c r="G7" s="26" t="n">
        <x:f>COUNTA('Financials'!$A$7:$A$506)</x:f>
        <x:v>2</x:v>
      </x:c>
      <x:c r="H7" s="26" t="n">
        <x:f>COUNT('Multiples'!$I$7:$I$506)</x:f>
        <x:v>2</x:v>
      </x:c>
      <x:c r="I7" s="26" t="n">
        <x:f>COUNT('Multiples'!$J$7:$J$506)</x:f>
        <x:v>2</x:v>
      </x:c>
      <x:c r="J7" s="27" t="str">
        <x:f>'Sources &amp; QA'!$P$16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IFERROR(MEDIAN(_xlfn._xlws.FILTER('Multiples'!$I$7:$I$506,'Multiples'!$I$7:$I$506&gt;0)),"N/M")</x:f>
        <x:v>6.586694819952164</x:v>
      </x:c>
      <x:c r="B13" s="31" t="n">
        <x:f>IFERROR(MEDIAN(_xlfn._xlws.FILTER('Multiples'!$J$7:$J$506,'Multiples'!$J$7:$J$506&gt;0)),"N/M")</x:f>
        <x:v>20.918120969801574</x:v>
      </x:c>
      <x:c r="C13" s="30" t="n">
        <x:f>COUNT('Multiples'!$I$7:$I$506)</x:f>
        <x:v>2</x:v>
      </x:c>
      <x:c r="D13" s="30" t="n">
        <x:f>COUNT('Multiples'!$J$7:$J$506)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46201</x:v>
      </x:c>
      <x:c r="B19" s="38" t="str">
        <x:v>DCM</x:v>
      </x:c>
      <x:c r="C19" s="38" t="str">
        <x:v>Closed</x:v>
      </x:c>
      <x:c r="D19" s="38" t="str">
        <x:v>MTSS</x:v>
      </x:c>
      <x:c r="E19" s="38" t="str">
        <x:v>Not applicable</x:v>
      </x:c>
      <x:c r="F19" s="39" t="n">
        <x:v>20000000000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МТС успешно закрыла книгу биржевых облигаций 003Р-03 на 20 млрд руб.</x:v>
      </x:c>
    </x:row>
    <x:row r="20" ht="30" customHeight="1">
      <x:c r="A20" s="37" t="n">
        <x:v>46192</x:v>
      </x:c>
      <x:c r="B20" s="38" t="str">
        <x:v>DCM</x:v>
      </x:c>
      <x:c r="C20" s="38" t="str">
        <x:v>Issued</x:v>
      </x:c>
      <x:c r="D20" s="38" t="str">
        <x:v>Yandex</x:v>
      </x:c>
      <x:c r="E20" s="38" t="str">
        <x:v>Not applicable</x:v>
      </x:c>
      <x:c r="F20" s="39" t="n">
        <x:v>60000000000</x:v>
      </x:c>
      <x:c r="G20" s="38" t="str">
        <x:v>RUB</x:v>
      </x:c>
      <x:c r="H20" s="38" t="str">
        <x:v>approved</x:v>
      </x:c>
      <x:c r="I20" s="38" t="n">
        <x:v>1</x:v>
      </x:c>
      <x:c r="J20" s="38" t="str">
        <x:v>Яндекс разместил два выпуска биржевых облигаций на общую сумму 60 млрд рублей</x:v>
      </x:c>
    </x:row>
    <x:row r="21" ht="30" customHeight="1">
      <x:c r="A21" s="37" t="n">
        <x:v>46175</x:v>
      </x:c>
      <x:c r="B21" s="38" t="str">
        <x:v>M&amp;A</x:v>
      </x:c>
      <x:c r="C21" s="38" t="str">
        <x:v>Closed</x:v>
      </x:c>
      <x:c r="D21" s="38" t="str">
        <x:v>Авто.ру</x:v>
      </x:c>
      <x:c r="E21" s="38" t="str">
        <x:v>Not disclosed</x:v>
      </x:c>
      <x:c r="F21" s="39" t="n">
        <x:v>35000000000</x:v>
      </x:c>
      <x:c r="G21" s="38" t="str">
        <x:v>RUB</x:v>
      </x:c>
      <x:c r="H21" s="38" t="str">
        <x:v>review</x:v>
      </x:c>
      <x:c r="I21" s="38" t="n">
        <x:v>5</x:v>
      </x:c>
      <x:c r="J21" s="38" t="str">
        <x:v>Яндекс закрыл сделку по продаже Авто.ру</x:v>
      </x:c>
    </x:row>
    <x:row r="22" ht="30" customHeight="1">
      <x:c r="A22" s="37" t="n">
        <x:v>46080</x:v>
      </x:c>
      <x:c r="B22" s="38" t="str">
        <x:v>DCM</x:v>
      </x:c>
      <x:c r="C22" s="38" t="str">
        <x:v>Issued</x:v>
      </x:c>
      <x:c r="D22" s="38" t="str">
        <x:v>SELECTEL</x:v>
      </x:c>
      <x:c r="E22" s="38" t="str">
        <x:v>Not applicable</x:v>
      </x:c>
      <x:c r="F22" s="39" t="n">
        <x:v>7000000000</x:v>
      </x:c>
      <x:c r="G22" s="38" t="str">
        <x:v>RUB</x:v>
      </x:c>
      <x:c r="H22" s="38" t="str">
        <x:v>approved</x:v>
      </x:c>
      <x:c r="I22" s="38" t="n">
        <x:v>1</x:v>
      </x:c>
      <x:c r="J22" s="38" t="str">
        <x:v>Selectel разместил новый выпуск облигаций и привлек 7 миллиардов рублей на развитие бизнеса</x:v>
      </x:c>
    </x:row>
    <x:row r="23" ht="30" customHeight="1">
      <x:c r="A23" s="37" t="n">
        <x:v>45642</x:v>
      </x:c>
      <x:c r="B23" s="38" t="str">
        <x:v>M&amp;A</x:v>
      </x:c>
      <x:c r="C23" s="38" t="str">
        <x:v>Confirmed</x:v>
      </x:c>
      <x:c r="D23" s="38" t="str">
        <x:v>Not disclosed</x:v>
      </x:c>
      <x:c r="E23" s="38" t="str">
        <x:v>Not disclosed</x:v>
      </x:c>
      <x:c r="F23" s="39"/>
      <x:c r="G23" s="38" t="str">
        <x:v>Not disclosed</x:v>
      </x:c>
      <x:c r="H23" s="38" t="str">
        <x:v>review</x:v>
      </x:c>
      <x:c r="I23" s="38" t="n">
        <x:v>1</x:v>
      </x:c>
      <x:c r="J23" s="38" t="str">
        <x:v>Selectel сообщает о приобретении облачного провайдера Servers.ru</x:v>
      </x:c>
    </x:row>
    <x:row r="24" ht="30" customHeight="1">
      <x:c r="A24" s="37" t="n">
        <x:v>45611</x:v>
      </x:c>
      <x:c r="B24" s="38" t="str">
        <x:v>DCM</x:v>
      </x:c>
      <x:c r="C24" s="38" t="str">
        <x:v>Announced</x:v>
      </x:c>
      <x:c r="D24" s="38" t="str">
        <x:v>SELECTEL</x:v>
      </x:c>
      <x:c r="E24" s="38" t="str">
        <x:v>Not applicable</x:v>
      </x:c>
      <x:c r="F24" s="39" t="n">
        <x:v>3000000000</x:v>
      </x:c>
      <x:c r="G24" s="38" t="str">
        <x:v>RUB</x:v>
      </x:c>
      <x:c r="H24" s="38" t="str">
        <x:v>approved</x:v>
      </x:c>
      <x:c r="I24" s="38" t="n">
        <x:v>1</x:v>
      </x:c>
      <x:c r="J24" s="38" t="str">
        <x:v>Selectel планирует размещение облигаций объемом 3 миллиарда рублей</x:v>
      </x:c>
    </x:row>
    <x:row r="25" ht="30" customHeight="1">
      <x:c r="A25" s="37" t="n">
        <x:v>45391</x:v>
      </x:c>
      <x:c r="B25" s="38" t="str">
        <x:v>DCM</x:v>
      </x:c>
      <x:c r="C25" s="38" t="str">
        <x:v>Confirmed</x:v>
      </x:c>
      <x:c r="D25" s="38" t="str">
        <x:v>SELECTEL</x:v>
      </x:c>
      <x:c r="E25" s="38" t="str">
        <x:v>Not applicable</x:v>
      </x:c>
      <x:c r="F25" s="39" t="n">
        <x:v>4000000000</x:v>
      </x:c>
      <x:c r="G25" s="38" t="str">
        <x:v>RUB</x:v>
      </x:c>
      <x:c r="H25" s="38" t="str">
        <x:v>approved</x:v>
      </x:c>
      <x:c r="I25" s="38" t="n">
        <x:v>1</x:v>
      </x:c>
      <x:c r="J25" s="38" t="str">
        <x:v>Selectel на фоне повышенного спроса на облигации четвертого выпуска увеличил объем размещения до 4 млрд рублей</x:v>
      </x:c>
    </x:row>
    <x:row r="26" ht="30" customHeight="1">
      <x:c r="A26" s="37" t="n">
        <x:v>45357</x:v>
      </x:c>
      <x:c r="B26" s="38" t="str">
        <x:v>DCM</x:v>
      </x:c>
      <x:c r="C26" s="38" t="str">
        <x:v>Announced</x:v>
      </x:c>
      <x:c r="D26" s="38" t="str">
        <x:v>SELECTEL</x:v>
      </x:c>
      <x:c r="E26" s="38" t="str">
        <x:v>Not applicable</x:v>
      </x:c>
      <x:c r="F26" s="39" t="n">
        <x:v>3000000000</x:v>
      </x:c>
      <x:c r="G26" s="38" t="str">
        <x:v>RUB</x:v>
      </x:c>
      <x:c r="H26" s="38" t="str">
        <x:v>approved</x:v>
      </x:c>
      <x:c r="I26" s="38" t="n">
        <x:v>1</x:v>
      </x:c>
      <x:c r="J26" s="38" t="str">
        <x:v>Selectel планирует размещение облигаций объемом 3 миллиарда рублей</x:v>
      </x:c>
    </x:row>
    <x:row r="27" ht="30" customHeight="1">
      <x:c r="A27" s="37" t="n">
        <x:v>45288</x:v>
      </x:c>
      <x:c r="B27" s="38" t="str">
        <x:v>M&amp;A</x:v>
      </x:c>
      <x:c r="C27" s="38" t="str">
        <x:v>Confirmed</x:v>
      </x:c>
      <x:c r="D27" s="38" t="str">
        <x:v>25% провайдера IT-инфраструктуры Selectel</x:v>
      </x:c>
      <x:c r="E27" s="38" t="str">
        <x:v>Инвестиционный фонд Tier 5</x:v>
      </x:c>
      <x:c r="F27" s="39"/>
      <x:c r="G27" s="38" t="str">
        <x:v>Not disclosed</x:v>
      </x:c>
      <x:c r="H27" s="38" t="str">
        <x:v>review</x:v>
      </x:c>
      <x:c r="I27" s="38" t="n">
        <x:v>1</x:v>
      </x:c>
      <x:c r="J27" s="38" t="str">
        <x:v>Инвестиционный фонд Tier 5 приобрел 25% провайдера IT-инфраструктуры Selectel</x:v>
      </x:c>
    </x:row>
    <x:row r="28" ht="30" customHeight="1">
      <x:c r="A28" s="37" t="n">
        <x:v>44707</x:v>
      </x:c>
      <x:c r="B28" s="38" t="str">
        <x:v>M&amp;A</x:v>
      </x:c>
      <x:c r="C28" s="38" t="str">
        <x:v>Closed</x:v>
      </x:c>
      <x:c r="D28" s="38" t="str">
        <x:v>VMware</x:v>
      </x:c>
      <x:c r="E28" s="38" t="str">
        <x:v>Broadcom</x:v>
      </x:c>
      <x:c r="F28" s="39" t="n">
        <x:v>61000000000</x:v>
      </x:c>
      <x:c r="G28" s="38" t="str">
        <x:v>USD</x:v>
      </x:c>
      <x:c r="H28" s="38" t="str">
        <x:v>approved</x:v>
      </x:c>
      <x:c r="I28" s="38" t="n">
        <x:v>3</x:v>
      </x:c>
      <x:c r="J28" s="38" t="str">
        <x:v>Broadcom acquired VMware in a cash-and-stock transaction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DL-moex-101717</x:v>
      </x:c>
      <x:c r="B7" s="44" t="n">
        <x:v>46205</x:v>
      </x:c>
      <x:c r="C7" s="42" t="str">
        <x:v>DCM</x:v>
      </x:c>
      <x:c r="D7" s="42" t="str">
        <x:v>technical_filing</x:v>
      </x:c>
      <x:c r="E7" s="42" t="str">
        <x:v>Announced</x:v>
      </x:c>
      <x:c r="F7" s="42" t="str">
        <x:v>Ozon</x:v>
      </x:c>
      <x:c r="G7" s="42" t="str">
        <x:v>Not applicable</x:v>
      </x:c>
      <x:c r="H7" s="42" t="str">
        <x:v>Not applicable</x:v>
      </x:c>
      <x:c r="I7" s="42" t="str">
        <x:v>Not classified</x:v>
      </x:c>
      <x:c r="J7" s="42" t="str">
        <x:v>Russia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Not disclosed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60</x:v>
      </x:c>
      <x:c r="AP7" s="42" t="str">
        <x:v>confirmed</x:v>
      </x:c>
      <x:c r="AQ7" s="42" t="n">
        <x:v>1</x:v>
      </x:c>
      <x:c r="AR7" s="42" t="str">
        <x:v>MOEX disclosure</x:v>
      </x:c>
      <x:c r="AS7" s="42" t="str">
        <x:v>https://www.moex.com/n101717</x:v>
      </x:c>
      <x:c r="AT7" s="42" t="str">
        <x:v>Московская биржа начала торги паями активно управляемого БПИФ на российские гособлигации</x:v>
      </x:c>
    </x:row>
    <x:row r="8">
      <x:c r="A8" s="42" t="str">
        <x:v>DL-moex-101722</x:v>
      </x:c>
      <x:c r="B8" s="44" t="n">
        <x:v>46205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Банк ВТБ</x:v>
      </x:c>
      <x:c r="G8" s="42" t="str">
        <x:v>Not applicable</x:v>
      </x:c>
      <x:c r="H8" s="42" t="str">
        <x:v>Not applicable</x:v>
      </x:c>
      <x:c r="I8" s="42" t="str">
        <x:v>Financials</x:v>
      </x:c>
      <x:c r="J8" s="42" t="str">
        <x:v>Russia</x:v>
      </x:c>
      <x:c r="K8" s="45" t="n">
        <x:v>9148870000</x:v>
      </x:c>
      <x:c r="L8" s="45"/>
      <x:c r="M8" s="42" t="str">
        <x:v>RUB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4B02-1234-01000-B-005P</x:v>
      </x:c>
      <x:c r="S8" s="42" t="str">
        <x:v>Not disclosed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 t="n">
        <x:v>999.628</x:v>
      </x:c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60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https://www.moex.com/n101722</x:v>
      </x:c>
      <x:c r="AT8" s="42" t="str">
        <x:v>Итоги выпуска биржевых облигаций</x:v>
      </x:c>
    </x:row>
    <x:row r="9">
      <x:c r="A9" s="42" t="str">
        <x:v>DL-moex-101691</x:v>
      </x:c>
      <x:c r="B9" s="44" t="n">
        <x:v>46204</x:v>
      </x:c>
      <x:c r="C9" s="42" t="str">
        <x:v>DCM</x:v>
      </x:c>
      <x:c r="D9" s="42" t="str">
        <x:v>technical_filing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Not classified</x:v>
      </x:c>
      <x:c r="J9" s="42" t="str">
        <x:v>Russia</x:v>
      </x:c>
      <x:c r="K9" s="45"/>
      <x:c r="L9" s="45"/>
      <x:c r="M9" s="42" t="str">
        <x:v>Not disclosed</x:v>
      </x:c>
      <x:c r="N9" s="46"/>
      <x:c r="O9" s="42" t="str">
        <x:v>Not applicable</x:v>
      </x:c>
      <x:c r="P9" s="42" t="str">
        <x:v>Not disclosed</x:v>
      </x:c>
      <x:c r="Q9" s="42" t="str">
        <x:v>Bonds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40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https://www.moex.com/n101691</x:v>
      </x:c>
      <x:c r="AT9" s="42" t="str">
        <x:v>О регистрации изменений в эмиссионные документы</x:v>
      </x:c>
    </x:row>
    <x:row r="10">
      <x:c r="A10" s="42" t="str">
        <x:v>DL-moex-101690</x:v>
      </x:c>
      <x:c r="B10" s="44" t="n">
        <x:v>46204</x:v>
      </x:c>
      <x:c r="C10" s="42" t="str">
        <x:v>DCM</x:v>
      </x:c>
      <x:c r="D10" s="42" t="str">
        <x:v>technical_filing</x:v>
      </x:c>
      <x:c r="E10" s="42" t="str">
        <x:v>Confirmed</x:v>
      </x:c>
      <x:c r="F10" s="42" t="str">
        <x:v>Not disclosed</x:v>
      </x:c>
      <x:c r="G10" s="42" t="str">
        <x:v>Not applicable</x:v>
      </x:c>
      <x:c r="H10" s="42" t="str">
        <x:v>Not applicable</x:v>
      </x:c>
      <x:c r="I10" s="42" t="str">
        <x:v>Financials</x:v>
      </x:c>
      <x:c r="J10" s="42" t="str">
        <x:v>Russia</x:v>
      </x:c>
      <x:c r="K10" s="45"/>
      <x:c r="L10" s="45"/>
      <x:c r="M10" s="42" t="str">
        <x:v>Not disclosed</x:v>
      </x:c>
      <x:c r="N10" s="46"/>
      <x:c r="O10" s="42" t="str">
        <x:v>Not applicable</x:v>
      </x:c>
      <x:c r="P10" s="42" t="str">
        <x:v>Not disclosed</x:v>
      </x:c>
      <x:c r="Q10" s="42" t="str">
        <x:v>Bonds</x:v>
      </x:c>
      <x:c r="R10" s="42" t="str">
        <x:v>4B02-829-01481-B-001P</x:v>
      </x:c>
      <x:c r="S10" s="42" t="str">
        <x:v>RU000A10F8Y1</x:v>
      </x:c>
      <x:c r="T10" s="46"/>
      <x:c r="U10" s="42" t="str">
        <x:v>Not disclosed</x:v>
      </x:c>
      <x:c r="V10" s="46"/>
      <x:c r="W10" s="44"/>
      <x:c r="X10" s="42" t="str">
        <x:v>Not disclosed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review</x:v>
      </x:c>
      <x:c r="AO10" s="42" t="n">
        <x:v>40</x:v>
      </x:c>
      <x:c r="AP10" s="42" t="str">
        <x:v>confirmed</x:v>
      </x:c>
      <x:c r="AQ10" s="42" t="n">
        <x:v>1</x:v>
      </x:c>
      <x:c r="AR10" s="42" t="str">
        <x:v>MOEX disclosure</x:v>
      </x:c>
      <x:c r="AS10" s="42" t="str">
        <x:v>https://www.moex.com/n101690</x:v>
      </x:c>
      <x:c r="AT10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11">
      <x:c r="A11" s="42" t="str">
        <x:v>DL-moex-101688</x:v>
      </x:c>
      <x:c r="B11" s="44" t="n">
        <x:v>46204</x:v>
      </x:c>
      <x:c r="C11" s="42" t="str">
        <x:v>DCM</x:v>
      </x:c>
      <x:c r="D11" s="42" t="str">
        <x:v>technical_filing</x:v>
      </x:c>
      <x:c r="E11" s="42" t="str">
        <x:v>Confirmed</x:v>
      </x:c>
      <x:c r="F11" s="42" t="str">
        <x:v>серии 001Р-09 ПАО "ТрансФин-М" с 02 июля 2026 год. О порядке приобретения облигаций</x:v>
      </x:c>
      <x:c r="G11" s="42" t="str">
        <x:v>Not applicable</x:v>
      </x:c>
      <x:c r="H11" s="42" t="str">
        <x:v>Not applicable</x:v>
      </x:c>
      <x:c r="I11" s="42" t="str">
        <x:v>Financials</x:v>
      </x:c>
      <x:c r="J11" s="42" t="str">
        <x:v>Russia</x:v>
      </x:c>
      <x:c r="K11" s="45"/>
      <x:c r="L11" s="45"/>
      <x:c r="M11" s="42" t="str">
        <x:v>Not disclosed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4B02-09-50156-A-001P</x:v>
      </x:c>
      <x:c r="S11" s="42" t="str">
        <x:v>RU000A106J38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60</x:v>
      </x:c>
      <x:c r="AP11" s="42" t="str">
        <x:v>confirmed</x:v>
      </x:c>
      <x:c r="AQ11" s="42" t="n">
        <x:v>1</x:v>
      </x:c>
      <x:c r="AR11" s="42" t="str">
        <x:v>MOEX disclosure</x:v>
      </x:c>
      <x:c r="AS11" s="42" t="str">
        <x:v>https://www.moex.com/n101688</x:v>
      </x:c>
      <x:c r="AT11" s="42" t="str">
        <x:v>О порядке приобретения облигаций серии 001Р-09 ПАО "ТрансФин-М" с 02 июля 2026 год</x:v>
      </x:c>
    </x:row>
    <x:row r="12">
      <x:c r="A12" s="42" t="str">
        <x:v>DL-moex-101684</x:v>
      </x:c>
      <x:c r="B12" s="44" t="n">
        <x:v>46204</x:v>
      </x:c>
      <x:c r="C12" s="42" t="str">
        <x:v>DCM</x:v>
      </x:c>
      <x:c r="D12" s="42" t="str">
        <x:v>technical_filing</x:v>
      </x:c>
      <x:c r="E12" s="42" t="str">
        <x:v>Confirmed</x:v>
      </x:c>
      <x:c r="F12" s="42" t="str">
        <x:v>Публичное акционерное общество "Сбербанк России"</x:v>
      </x:c>
      <x:c r="G12" s="42" t="str">
        <x:v>Not applicable</x:v>
      </x:c>
      <x:c r="H12" s="42" t="str">
        <x:v>Not applicable</x:v>
      </x:c>
      <x:c r="I12" s="42" t="str">
        <x:v>Financials</x:v>
      </x:c>
      <x:c r="J12" s="42" t="str">
        <x:v>Russia</x:v>
      </x:c>
      <x:c r="K12" s="45"/>
      <x:c r="L12" s="45"/>
      <x:c r="M12" s="42" t="str">
        <x:v>Not disclosed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4B02-839-01481-B-001P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/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60</x:v>
      </x:c>
      <x:c r="AP12" s="42" t="str">
        <x:v>confirmed</x:v>
      </x:c>
      <x:c r="AQ12" s="42" t="n">
        <x:v>1</x:v>
      </x:c>
      <x:c r="AR12" s="42" t="str">
        <x:v>MOEX disclosure</x:v>
      </x:c>
      <x:c r="AS12" s="42" t="str">
        <x:v>https://www.moex.com/n101684</x:v>
      </x:c>
      <x:c r="AT12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3">
      <x:c r="A13" s="42" t="str">
        <x:v>DL-3d3c82bb59e25b8e</x:v>
      </x:c>
      <x:c r="B13" s="44" t="n">
        <x:v>46204</x:v>
      </x:c>
      <x:c r="C13" s="42" t="str">
        <x:v>M&amp;A</x:v>
      </x:c>
      <x:c r="D13" s="42" t="str">
        <x:v>watchlist</x:v>
      </x:c>
      <x:c r="E13" s="42" t="str">
        <x:v>Reported</x:v>
      </x:c>
      <x:c r="F13" s="42" t="str">
        <x:v>Not disclosed</x:v>
      </x:c>
      <x:c r="G13" s="42" t="str">
        <x:v>Not disclosed</x:v>
      </x:c>
      <x:c r="H13" s="42" t="str">
        <x:v>Not disclosed</x:v>
      </x:c>
      <x:c r="I13" s="42" t="str">
        <x:v>Not classified</x:v>
      </x:c>
      <x:c r="J13" s="42" t="str">
        <x:v>Not disclosed</x:v>
      </x:c>
      <x:c r="K13" s="45"/>
      <x:c r="L13" s="45"/>
      <x:c r="M13" s="42" t="str">
        <x:v>Not disclosed</x:v>
      </x:c>
      <x:c r="N13" s="46"/>
      <x:c r="O13" s="42" t="str">
        <x:v>Not disclosed</x:v>
      </x:c>
      <x:c r="P13" s="42" t="str">
        <x:v>Not disclosed</x:v>
      </x:c>
      <x:c r="Q13" s="42" t="str">
        <x:v>Acquisition / disposal</x:v>
      </x:c>
      <x:c r="R13" s="42" t="str">
        <x:v>Not disclosed</x:v>
      </x:c>
      <x:c r="S13" s="42" t="str">
        <x:v>Not disclosed</x:v>
      </x:c>
      <x:c r="T13" s="46"/>
      <x:c r="U13" s="42" t="str">
        <x:v>Not disclosed</x:v>
      </x:c>
      <x:c r="V13" s="46"/>
      <x:c r="W13" s="44"/>
      <x:c r="X13" s="42" t="str">
        <x:v>Not disclosed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rejected</x:v>
      </x:c>
      <x:c r="AO13" s="42" t="n">
        <x:v>0</x:v>
      </x:c>
      <x:c r="AP13" s="42" t="str">
        <x:v>unverified</x:v>
      </x:c>
      <x:c r="AQ13" s="42" t="n">
        <x:v>2</x:v>
      </x:c>
      <x:c r="AR13" s="42" t="str">
        <x:v>Финам</x:v>
      </x:c>
      <x:c r="AS13" s="42" t="str">
        <x:v>https://www.finam.ru/publications/item/rynok-pytaetsya-rasti-aktsii-sistemy-ostayutsya-v-liderakh-padeniya-posle-sdelki-s-vtb-20260701-1023/</x:v>
      </x:c>
      <x:c r="AT13" s="42" t="str">
        <x:v>Рынок пытается расти, акции «Системы» остаются в лидерах падения после сделки с ВТБ - Финам</x:v>
      </x:c>
    </x:row>
    <x:row r="14">
      <x:c r="A14" s="42" t="str">
        <x:v>DL-c76896181d89cde6</x:v>
      </x:c>
      <x:c r="B14" s="44" t="n">
        <x:v>46203</x:v>
      </x:c>
      <x:c r="C14" s="42" t="str">
        <x:v>DCM</x:v>
      </x:c>
      <x:c r="D14" s="42" t="str">
        <x:v>watchlist</x:v>
      </x:c>
      <x:c r="E14" s="42" t="str">
        <x:v>Closed</x:v>
      </x:c>
      <x:c r="F14" s="42" t="str">
        <x:v>ВУШ завершил первый этап размещения облигаций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Not disclosed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75</x:v>
      </x:c>
      <x:c r="AP14" s="42" t="str">
        <x:v>unverified</x:v>
      </x:c>
      <x:c r="AQ14" s="42" t="n">
        <x:v>2</x:v>
      </x:c>
      <x:c r="AR14" s="42" t="str">
        <x:v>БКС Экспресс</x:v>
      </x:c>
      <x:c r="AS14" s="42" t="str">
        <x:v>https://bcs-express.ru/novosti-i-analitika/vush-zavershil-pervyi-etap-razmeshcheniia-obligatsii</x:v>
      </x:c>
      <x:c r="AT14" s="42" t="str">
        <x:v>ВУШ завершил первый этап размещения облигаций - БКС Экспресс</x:v>
      </x:c>
    </x:row>
    <x:row r="15">
      <x:c r="A15" s="42" t="str">
        <x:v>DL-moex-101536</x:v>
      </x:c>
      <x:c r="B15" s="44" t="n">
        <x:v>46202</x:v>
      </x:c>
      <x:c r="C15" s="42" t="str">
        <x:v>DCM</x:v>
      </x:c>
      <x:c r="D15" s="42" t="str">
        <x:v>technical_filing</x:v>
      </x:c>
      <x:c r="E15" s="42" t="str">
        <x:v>Confirmed</x:v>
      </x:c>
      <x:c r="F15" s="42" t="str">
        <x:v>Газпромбанк</x:v>
      </x:c>
      <x:c r="G15" s="42" t="str">
        <x:v>Not applicable</x:v>
      </x:c>
      <x:c r="H15" s="42" t="str">
        <x:v>Not applicable</x:v>
      </x:c>
      <x:c r="I15" s="42" t="str">
        <x:v>Financials</x:v>
      </x:c>
      <x:c r="J15" s="42" t="str">
        <x:v>Russia</x:v>
      </x:c>
      <x:c r="K15" s="45" t="n">
        <x:v>3930247000</x:v>
      </x:c>
      <x:c r="L15" s="45"/>
      <x:c r="M15" s="42" t="str">
        <x:v>RUB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4B02-05-00354-B-006P</x:v>
      </x:c>
      <x:c r="S15" s="42" t="str">
        <x:v>Not disclosed</x:v>
      </x:c>
      <x:c r="T15" s="46"/>
      <x:c r="U15" s="42" t="str">
        <x:v>Not disclosed</x:v>
      </x:c>
      <x:c r="V15" s="46"/>
      <x:c r="W15" s="44"/>
      <x:c r="X15" s="42" t="str">
        <x:v>Not disclosed</x:v>
      </x:c>
      <x:c r="Y15" s="42" t="n">
        <x:v>560</x:v>
      </x:c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60</x:v>
      </x:c>
      <x:c r="AP15" s="42" t="str">
        <x:v>confirmed</x:v>
      </x:c>
      <x:c r="AQ15" s="42" t="n">
        <x:v>1</x:v>
      </x:c>
      <x:c r="AR15" s="42" t="str">
        <x:v>MOEX disclosure</x:v>
      </x:c>
      <x:c r="AS15" s="42" t="str">
        <x:v>https://www.moex.com/n101536</x:v>
      </x:c>
      <x:c r="AT15" s="42" t="str">
        <x:v>Итоги выпуска биржевых облигаций</x:v>
      </x:c>
    </x:row>
    <x:row r="16">
      <x:c r="A16" s="42" t="str">
        <x:v>DL-moex-101565</x:v>
      </x:c>
      <x:c r="B16" s="44" t="n">
        <x:v>46202</x:v>
      </x:c>
      <x:c r="C16" s="42" t="str">
        <x:v>DCM</x:v>
      </x:c>
      <x:c r="D16" s="42" t="str">
        <x:v>technical_filing</x:v>
      </x:c>
      <x:c r="E16" s="42" t="str">
        <x:v>Confirmed</x:v>
      </x:c>
      <x:c r="F16" s="42" t="str">
        <x:v>Общество с ограниченной ответственностью профессиональная коллекторская организация "Вернём"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Russia</x:v>
      </x:c>
      <x:c r="K16" s="45"/>
      <x:c r="L16" s="45"/>
      <x:c r="M16" s="42" t="str">
        <x:v>Not disclosed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4B02-03-00265-L-001P</x:v>
      </x:c>
      <x:c r="S16" s="42" t="str">
        <x:v>Not disclosed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60</x:v>
      </x:c>
      <x:c r="AP16" s="42" t="str">
        <x:v>confirmed</x:v>
      </x:c>
      <x:c r="AQ16" s="42" t="n">
        <x:v>1</x:v>
      </x:c>
      <x:c r="AR16" s="42" t="str">
        <x:v>MOEX disclosure</x:v>
      </x:c>
      <x:c r="AS16" s="42" t="str">
        <x:v>https://www.moex.com/n101565</x:v>
      </x:c>
      <x:c r="AT16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7">
      <x:c r="A17" s="42" t="str">
        <x:v>DL-moex-101562</x:v>
      </x:c>
      <x:c r="B17" s="44" t="n">
        <x:v>46202</x:v>
      </x:c>
      <x:c r="C17" s="42" t="str">
        <x:v>DCM</x:v>
      </x:c>
      <x:c r="D17" s="42" t="str">
        <x:v>technical_filing</x:v>
      </x:c>
      <x:c r="E17" s="42" t="str">
        <x:v>Confirmed</x:v>
      </x:c>
      <x:c r="F17" s="42" t="str">
        <x:v>Not disclosed</x:v>
      </x:c>
      <x:c r="G17" s="42" t="str">
        <x:v>Not applicable</x:v>
      </x:c>
      <x:c r="H17" s="42" t="str">
        <x:v>Not applicable</x:v>
      </x:c>
      <x:c r="I17" s="42" t="str">
        <x:v>Not classified</x:v>
      </x:c>
      <x:c r="J17" s="42" t="str">
        <x:v>Russia</x:v>
      </x:c>
      <x:c r="K17" s="45"/>
      <x:c r="L17" s="45"/>
      <x:c r="M17" s="42" t="str">
        <x:v>Not disclosed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4B02-01-00609-R-001P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/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40</x:v>
      </x:c>
      <x:c r="AP17" s="42" t="str">
        <x:v>confirmed</x:v>
      </x:c>
      <x:c r="AQ17" s="42" t="n">
        <x:v>1</x:v>
      </x:c>
      <x:c r="AR17" s="42" t="str">
        <x:v>MOEX disclosure</x:v>
      </x:c>
      <x:c r="AS17" s="42" t="str">
        <x:v>https://www.moex.com/n101562</x:v>
      </x:c>
      <x:c r="AT17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18">
      <x:c r="A18" s="42" t="str">
        <x:v>DL-moex-101561</x:v>
      </x:c>
      <x:c r="B18" s="44" t="n">
        <x:v>46202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ПАО АФК "СИСТЕМА"</x:v>
      </x:c>
      <x:c r="G18" s="42" t="str">
        <x:v>Not applicable</x:v>
      </x:c>
      <x:c r="H18" s="42" t="str">
        <x:v>Not applicable</x:v>
      </x:c>
      <x:c r="I18" s="42" t="str">
        <x:v>Not classified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4B02-14-01669-A-002P</x:v>
      </x:c>
      <x:c r="S18" s="42" t="str">
        <x:v>RU000A10FA72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60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https://www.moex.com/n101561</x:v>
      </x:c>
      <x:c r="AT18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19">
      <x:c r="A19" s="42" t="str">
        <x:v>DL-moex-101559</x:v>
      </x:c>
      <x:c r="B19" s="44" t="n">
        <x:v>46202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Акционерное общество "Сбербанк КИБ"</x:v>
      </x:c>
      <x:c r="G19" s="42" t="str">
        <x:v>Not applicable</x:v>
      </x:c>
      <x:c r="H19" s="42" t="str">
        <x:v>Not applicable</x:v>
      </x:c>
      <x:c r="I19" s="42" t="str">
        <x:v>Financials</x:v>
      </x:c>
      <x:c r="J19" s="42" t="str">
        <x:v>Not disclosed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6-521-01793-A-001P</x:v>
      </x:c>
      <x:c r="S19" s="42" t="str">
        <x:v>Not disclosed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60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https://www.moex.com/n101559</x:v>
      </x:c>
      <x:c r="AT19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20">
      <x:c r="A20" s="42" t="str">
        <x:v>DL-884a90d63a74113a</x:v>
      </x:c>
      <x:c r="B20" s="44" t="n">
        <x:v>46202</x:v>
      </x:c>
      <x:c r="C20" s="42" t="str">
        <x:v>DCM</x:v>
      </x:c>
      <x:c r="D20" s="42" t="str">
        <x:v>watchlist</x:v>
      </x:c>
      <x:c r="E20" s="42" t="str">
        <x:v>Reported</x:v>
      </x:c>
      <x:c r="F20" s="42" t="str">
        <x:v>SpaceX</x:v>
      </x:c>
      <x:c r="G20" s="42" t="str">
        <x:v>Not applicable</x:v>
      </x:c>
      <x:c r="H20" s="42" t="str">
        <x:v>Not applicable</x:v>
      </x:c>
      <x:c r="I20" s="42" t="str">
        <x:v>Not classified</x:v>
      </x:c>
      <x:c r="J20" s="42" t="str">
        <x:v>Not disclosed</x:v>
      </x:c>
      <x:c r="K20" s="45" t="n">
        <x:v>25000000000</x:v>
      </x:c>
      <x:c r="L20" s="45"/>
      <x:c r="M20" s="42" t="str">
        <x:v>USD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Not disclosed</x:v>
      </x:c>
      <x:c r="S20" s="42" t="str">
        <x:v>Not disclosed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75</x:v>
      </x:c>
      <x:c r="AP20" s="42" t="str">
        <x:v>unverified</x:v>
      </x:c>
      <x:c r="AQ20" s="42" t="n">
        <x:v>2</x:v>
      </x:c>
      <x:c r="AR20" s="42" t="str">
        <x:v>Финансы Mail</x:v>
      </x:c>
      <x:c r="AS20" s="42" t="str">
        <x:v>https://finance.mail.ru/article/vyipusk-obligatsij-spacex-na-25-mlrd-vyizval-opaseniya-investorov-69215522/</x:v>
      </x:c>
      <x:c r="AT20" s="42" t="str">
        <x:v>Выпуск облигаций SpaceX на $25 млрд вызвал опасения инвесторов - Финансы Mail</x:v>
      </x:c>
    </x:row>
    <x:row r="21">
      <x:c r="A21" s="42" t="str">
        <x:v>DL-b10ff92f48cadefa</x:v>
      </x:c>
      <x:c r="B21" s="44" t="n">
        <x:v>46202</x:v>
      </x:c>
      <x:c r="C21" s="42" t="str">
        <x:v>ECM</x:v>
      </x:c>
      <x:c r="D21" s="42" t="str">
        <x:v>watchlist</x:v>
      </x:c>
      <x:c r="E21" s="42" t="str">
        <x:v>Reported</x:v>
      </x:c>
      <x:c r="F21" s="42" t="str">
        <x:v>VKCO</x:v>
      </x:c>
      <x:c r="G21" s="42" t="str">
        <x:v>Not applicable</x:v>
      </x:c>
      <x:c r="H21" s="42" t="str">
        <x:v>Not applicable</x:v>
      </x:c>
      <x:c r="I21" s="42" t="str">
        <x:v>Not classified</x:v>
      </x:c>
      <x:c r="J21" s="42" t="str">
        <x:v>Not disclosed</x:v>
      </x:c>
      <x:c r="K21" s="45" t="n">
        <x:v>251000000000</x:v>
      </x:c>
      <x:c r="L21" s="45"/>
      <x:c r="M21" s="42" t="str">
        <x:v>USD</x:v>
      </x:c>
      <x:c r="N21" s="46"/>
      <x:c r="O21" s="42" t="str">
        <x:v>Not applicable</x:v>
      </x:c>
      <x:c r="P21" s="42" t="str">
        <x:v>Not disclosed</x:v>
      </x:c>
      <x:c r="Q21" s="42" t="str">
        <x:v>IPO</x:v>
      </x:c>
      <x:c r="R21" s="42" t="str">
        <x:v>Not disclosed</x:v>
      </x:c>
      <x:c r="S21" s="42" t="str">
        <x:v>Not disclosed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disclosed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75</x:v>
      </x:c>
      <x:c r="AP21" s="42" t="str">
        <x:v>unverified</x:v>
      </x:c>
      <x:c r="AQ21" s="42" t="n">
        <x:v>2</x:v>
      </x:c>
      <x:c r="AR21" s="42" t="str">
        <x:v>Финам</x:v>
      </x:c>
      <x:c r="AS21" s="42" t="str">
        <x:v>https://www.finam.ru/publications/item/razmeshcheniya-aktsiy-v-ssha-v-1-polugodii-sostavili-rekordnye-251-mlrd-blagodarya-spacex-20260629-1601/</x:v>
      </x:c>
      <x:c r="AT21" s="42" t="str">
        <x:v>Объем IPO и продаж акций в США в 1 полугодии составил рекордные $251 млрд благодаря SpaceX - Финам</x:v>
      </x:c>
    </x:row>
    <x:row r="22">
      <x:c r="A22" s="42" t="str">
        <x:v>DL-4d8f7bcb385b1c88</x:v>
      </x:c>
      <x:c r="B22" s="44" t="n">
        <x:v>46201</x:v>
      </x:c>
      <x:c r="C22" s="42" t="str">
        <x:v>DCM</x:v>
      </x:c>
      <x:c r="D22" s="42" t="str">
        <x:v>deal</x:v>
      </x:c>
      <x:c r="E22" s="42" t="str">
        <x:v>Closed</x:v>
      </x:c>
      <x:c r="F22" s="42" t="str">
        <x:v>MTSS</x:v>
      </x:c>
      <x:c r="G22" s="42" t="str">
        <x:v>Not applicable</x:v>
      </x:c>
      <x:c r="H22" s="42" t="str">
        <x:v>Not applicable</x:v>
      </x:c>
      <x:c r="I22" s="42" t="str">
        <x:v>Not classified</x:v>
      </x:c>
      <x:c r="J22" s="42" t="str">
        <x:v>Russia</x:v>
      </x:c>
      <x:c r="K22" s="45" t="n">
        <x:v>20000000000</x:v>
      </x:c>
      <x:c r="L22" s="45"/>
      <x:c r="M22" s="42" t="str">
        <x:v>RUB</x:v>
      </x:c>
      <x:c r="N22" s="46"/>
      <x:c r="O22" s="42" t="str">
        <x:v>Not applicable</x:v>
      </x:c>
      <x:c r="P22" s="42" t="str">
        <x:v>Not disclosed</x:v>
      </x:c>
      <x:c r="Q22" s="42" t="str">
        <x:v>Bonds</x:v>
      </x:c>
      <x:c r="R22" s="42" t="str">
        <x:v>Not disclosed</x:v>
      </x:c>
      <x:c r="S22" s="42" t="str">
        <x:v>Not disclosed</x:v>
      </x:c>
      <x:c r="T22" s="46"/>
      <x:c r="U22" s="42" t="str">
        <x:v>Not disclosed</x:v>
      </x:c>
      <x:c r="V22" s="46"/>
      <x:c r="W22" s="44"/>
      <x:c r="X22" s="42" t="str">
        <x:v>Not disclosed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approved</x:v>
      </x:c>
      <x:c r="AO22" s="42" t="n">
        <x:v>100</x:v>
      </x:c>
      <x:c r="AP22" s="42" t="str">
        <x:v>confirmed</x:v>
      </x:c>
      <x:c r="AQ22" s="42" t="n">
        <x:v>1</x:v>
      </x:c>
      <x:c r="AR22" s="42" t="str">
        <x:v>MTS Investor Relations</x:v>
      </x:c>
      <x:c r="AS22" s="42" t="str">
        <x:v>https://ir.mts.ru/news_and_events/corporate_releases/details/742414</x:v>
      </x:c>
      <x:c r="AT22" s="42" t="str">
        <x:v>МТС успешно закрыла книгу биржевых облигаций 003Р-03 на 20 млрд руб.</x:v>
      </x:c>
    </x:row>
    <x:row r="23">
      <x:c r="A23" s="42" t="str">
        <x:v>DL-bfcdac2063ce29e4</x:v>
      </x:c>
      <x:c r="B23" s="44" t="n">
        <x:v>46201</x:v>
      </x:c>
      <x:c r="C23" s="42" t="str">
        <x:v>DCM</x:v>
      </x:c>
      <x:c r="D23" s="42" t="str">
        <x:v>watchlist</x:v>
      </x:c>
      <x:c r="E23" s="42" t="str">
        <x:v>Reported</x:v>
      </x:c>
      <x:c r="F23" s="42" t="str">
        <x:v>YDEX</x:v>
      </x:c>
      <x:c r="G23" s="42" t="str">
        <x:v>Not applicable</x:v>
      </x:c>
      <x:c r="H23" s="42" t="str">
        <x:v>Not applicable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applicable</x:v>
      </x:c>
      <x:c r="P23" s="42" t="str">
        <x:v>Not disclosed</x:v>
      </x:c>
      <x:c r="Q23" s="42" t="str">
        <x:v>Bonds</x:v>
      </x:c>
      <x:c r="R23" s="42" t="str">
        <x:v>Not disclosed</x:v>
      </x:c>
      <x:c r="S23" s="42" t="str">
        <x:v>Not disclosed</x:v>
      </x:c>
      <x:c r="T23" s="46"/>
      <x:c r="U23" s="42" t="str">
        <x:v>Not disclosed</x:v>
      </x:c>
      <x:c r="V23" s="46"/>
      <x:c r="W23" s="44"/>
      <x:c r="X23" s="42" t="str">
        <x:v>Not disclosed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rejected</x:v>
      </x:c>
      <x:c r="AO23" s="42" t="n">
        <x:v>15</x:v>
      </x:c>
      <x:c r="AP23" s="42" t="str">
        <x:v>unverified</x:v>
      </x:c>
      <x:c r="AQ23" s="42" t="n">
        <x:v>2</x:v>
      </x:c>
      <x:c r="AR23" s="42" t="str">
        <x:v>Финансы Mail</x:v>
      </x:c>
      <x:c r="AS23" s="42" t="str">
        <x:v>https://finance.mail.ru/article/molodyie-investoryi-uvelichili-vlozheniya-v-obligatsii-v-dva-raza-69215293/</x:v>
      </x:c>
      <x:c r="AT23" s="42" t="str">
        <x:v>Молодые инвесторы увеличили вложения в облигации в два раза - Финансы Mail</x:v>
      </x:c>
    </x:row>
    <x:row r="24">
      <x:c r="A24" s="42" t="str">
        <x:v>DL-3c400018ff8f7b5b</x:v>
      </x:c>
      <x:c r="B24" s="44" t="n">
        <x:v>46200</x:v>
      </x:c>
      <x:c r="C24" s="42" t="str">
        <x:v>M&amp;A</x:v>
      </x:c>
      <x:c r="D24" s="42" t="str">
        <x:v>watchlist</x:v>
      </x:c>
      <x:c r="E24" s="42" t="str">
        <x:v>Reported</x:v>
      </x:c>
      <x:c r="F24" s="42" t="str">
        <x:v>Not disclosed</x:v>
      </x:c>
      <x:c r="G24" s="42" t="str">
        <x:v>Not disclosed</x:v>
      </x:c>
      <x:c r="H24" s="42" t="str">
        <x:v>Not disclosed</x:v>
      </x:c>
      <x:c r="I24" s="42" t="str">
        <x:v>Not classified</x:v>
      </x:c>
      <x:c r="J24" s="42" t="str">
        <x:v>Not disclosed</x:v>
      </x:c>
      <x:c r="K24" s="45"/>
      <x:c r="L24" s="45"/>
      <x:c r="M24" s="42" t="str">
        <x:v>Not disclosed</x:v>
      </x:c>
      <x:c r="N24" s="46"/>
      <x:c r="O24" s="42" t="str">
        <x:v>Shares</x:v>
      </x:c>
      <x:c r="P24" s="42" t="str">
        <x:v>Not disclosed</x:v>
      </x:c>
      <x:c r="Q24" s="42" t="str">
        <x:v>Acquisition / disposal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rejected</x:v>
      </x:c>
      <x:c r="AO24" s="42" t="n">
        <x:v>0</x:v>
      </x:c>
      <x:c r="AP24" s="42" t="str">
        <x:v>unverified</x:v>
      </x:c>
      <x:c r="AQ24" s="42" t="n">
        <x:v>1</x:v>
      </x:c>
      <x:c r="AR24" s="42" t="str">
        <x:v>foreignpolicyjournal.com</x:v>
      </x:c>
      <x:c r="AS24" s="42" t="str">
        <x:v>https://www.foreignpolicyjournal.com/2026/06/26/nebius-group-nasdaq-nbis-completes-eigen-ai-acquisition-analyst-lifts-stock-price-target-to-280/</x:v>
      </x:c>
      <x:c r="AT24" s="42" t="str">
        <x:v>Nebius Group ( NASDAQ : NBIS ) Completes Eigen AI Acquisition , Analyst Lifts Stock Price Target To $280</x:v>
      </x:c>
    </x:row>
    <x:row r="25">
      <x:c r="A25" s="42" t="str">
        <x:v>DL-moex-101473</x:v>
      </x:c>
      <x:c r="B25" s="44" t="n">
        <x:v>46199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Not classified</x:v>
      </x:c>
      <x:c r="J25" s="42" t="str">
        <x:v>Russia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Not disclosed</x:v>
      </x:c>
      <x:c r="S25" s="42" t="str">
        <x:v>Not disclosed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https://www.moex.com/n101473</x:v>
      </x:c>
      <x:c r="AT25" s="42" t="str">
        <x:v>О регистрации проспекта биржевых облигаций</x:v>
      </x:c>
    </x:row>
    <x:row r="26">
      <x:c r="A26" s="42" t="str">
        <x:v>DL-moex-101492</x:v>
      </x:c>
      <x:c r="B26" s="44" t="n">
        <x:v>46199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Not classified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Not disclosed</x:v>
      </x:c>
      <x:c r="S26" s="42" t="str">
        <x:v>Not disclosed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https://www.moex.com/n101492</x:v>
      </x:c>
      <x:c r="AT26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27">
      <x:c r="A27" s="42" t="str">
        <x:v>DL-moex-101468</x:v>
      </x:c>
      <x:c r="B27" s="44" t="n">
        <x:v>46199</x:v>
      </x:c>
      <x:c r="C27" s="42" t="str">
        <x:v>DCM</x:v>
      </x:c>
      <x:c r="D27" s="42" t="str">
        <x:v>technical_filing</x:v>
      </x:c>
      <x:c r="E27" s="42" t="str">
        <x:v>Confirmed</x:v>
      </x:c>
      <x:c r="F27" s="42" t="str">
        <x:v>Not disclosed</x:v>
      </x:c>
      <x:c r="G27" s="42" t="str">
        <x:v>Not applicable</x:v>
      </x:c>
      <x:c r="H27" s="42" t="str">
        <x:v>Not applicable</x:v>
      </x:c>
      <x:c r="I27" s="42" t="str">
        <x:v>Not classified</x:v>
      </x:c>
      <x:c r="J27" s="42" t="str">
        <x:v>Russia</x:v>
      </x:c>
      <x:c r="K27" s="45"/>
      <x:c r="L27" s="45"/>
      <x:c r="M27" s="42" t="str">
        <x:v>Not disclosed</x:v>
      </x:c>
      <x:c r="N27" s="46"/>
      <x:c r="O27" s="42" t="str">
        <x:v>Not applicable</x:v>
      </x:c>
      <x:c r="P27" s="42" t="str">
        <x:v>Not disclosed</x:v>
      </x:c>
      <x:c r="Q27" s="42" t="str">
        <x:v>Bonds</x:v>
      </x:c>
      <x:c r="R27" s="42" t="str">
        <x:v>Not disclosed</x:v>
      </x:c>
      <x:c r="S27" s="42" t="str">
        <x:v>Not disclosed</x:v>
      </x:c>
      <x:c r="T27" s="46"/>
      <x:c r="U27" s="42" t="str">
        <x:v>Not disclosed</x:v>
      </x:c>
      <x:c r="V27" s="46"/>
      <x:c r="W27" s="44"/>
      <x:c r="X27" s="42" t="str">
        <x:v>Not disclosed</x:v>
      </x:c>
      <x:c r="Y27" s="42"/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confirmed</x:v>
      </x:c>
      <x:c r="AQ27" s="42" t="n">
        <x:v>1</x:v>
      </x:c>
      <x:c r="AR27" s="42" t="str">
        <x:v>MOEX disclosure</x:v>
      </x:c>
      <x:c r="AS27" s="42" t="str">
        <x:v>https://www.moex.com/n101468</x:v>
      </x:c>
      <x:c r="AT27" s="42" t="str">
        <x:v>О регистрации изменений в эмиссионные документы</x:v>
      </x:c>
    </x:row>
    <x:row r="28">
      <x:c r="A28" s="42" t="str">
        <x:v>DL-moex-101457</x:v>
      </x:c>
      <x:c r="B28" s="44" t="n">
        <x:v>46199</x:v>
      </x:c>
      <x:c r="C28" s="42" t="str">
        <x:v>DCM</x:v>
      </x:c>
      <x:c r="D28" s="42" t="str">
        <x:v>technical_filing</x:v>
      </x:c>
      <x:c r="E28" s="42" t="str">
        <x:v>Confirmed</x:v>
      </x:c>
      <x:c r="F28" s="42" t="str">
        <x:v>Not disclosed</x:v>
      </x:c>
      <x:c r="G28" s="42" t="str">
        <x:v>Not applicable</x:v>
      </x:c>
      <x:c r="H28" s="42" t="str">
        <x:v>Not applicable</x:v>
      </x:c>
      <x:c r="I28" s="42" t="str">
        <x:v>Financials</x:v>
      </x:c>
      <x:c r="J28" s="42" t="str">
        <x:v>Not disclosed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40</x:v>
      </x:c>
      <x:c r="AP28" s="42" t="str">
        <x:v>confirmed</x:v>
      </x:c>
      <x:c r="AQ28" s="42" t="n">
        <x:v>1</x:v>
      </x:c>
      <x:c r="AR28" s="42" t="str">
        <x:v>MOEX disclosure</x:v>
      </x:c>
      <x:c r="AS28" s="42" t="str">
        <x:v>https://www.moex.com/n101457</x:v>
      </x:c>
      <x:c r="AT28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29">
      <x:c r="A29" s="42" t="str">
        <x:v>DL-moex-101454</x:v>
      </x:c>
      <x:c r="B29" s="44" t="n">
        <x:v>46199</x:v>
      </x:c>
      <x:c r="C29" s="42" t="str">
        <x:v>DCM</x:v>
      </x:c>
      <x:c r="D29" s="42" t="str">
        <x:v>technical_filing</x:v>
      </x:c>
      <x:c r="E29" s="42" t="str">
        <x:v>Confirmed</x:v>
      </x:c>
      <x:c r="F29" s="42" t="str">
        <x:v>Not disclosed</x:v>
      </x:c>
      <x:c r="G29" s="42" t="str">
        <x:v>Not applicable</x:v>
      </x:c>
      <x:c r="H29" s="42" t="str">
        <x:v>Not applicable</x:v>
      </x:c>
      <x:c r="I29" s="42" t="str">
        <x:v>Financials</x:v>
      </x:c>
      <x:c r="J29" s="42" t="str">
        <x:v>Russia</x:v>
      </x:c>
      <x:c r="K29" s="45"/>
      <x:c r="L29" s="45"/>
      <x:c r="M29" s="42" t="str">
        <x:v>Not disclosed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Not disclosed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/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40</x:v>
      </x:c>
      <x:c r="AP29" s="42" t="str">
        <x:v>confirmed</x:v>
      </x:c>
      <x:c r="AQ29" s="42" t="n">
        <x:v>1</x:v>
      </x:c>
      <x:c r="AR29" s="42" t="str">
        <x:v>MOEX disclosure</x:v>
      </x:c>
      <x:c r="AS29" s="42" t="str">
        <x:v>https://www.moex.com/n101454</x:v>
      </x:c>
      <x:c r="AT29" s="42" t="str">
        <x:v>О порядке приобретения облигаций серии 001P-04 ООО "АРЕНЗА-ПРО" с 29 июня 2026 год</x:v>
      </x:c>
    </x:row>
    <x:row r="30">
      <x:c r="A30" s="42" t="str">
        <x:v>DL-moex-101451</x:v>
      </x:c>
      <x:c r="B30" s="44" t="n">
        <x:v>46199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Not classified</x:v>
      </x:c>
      <x:c r="J30" s="42" t="str">
        <x:v>Not disclosed</x:v>
      </x:c>
      <x:c r="K30" s="45"/>
      <x:c r="L30" s="45"/>
      <x:c r="M30" s="42" t="str">
        <x:v>Not disclosed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Not disclosed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/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https://www.moex.com/n101451</x:v>
      </x:c>
      <x:c r="AT30" s="42" t="str">
        <x:v>О проведении выкупа облигаций с 29 июня по 03 июля 2026 года</x:v>
      </x:c>
    </x:row>
    <x:row r="31">
      <x:c r="A31" s="42" t="str">
        <x:v>DL-moex-101450</x:v>
      </x:c>
      <x:c r="B31" s="44" t="n">
        <x:v>46199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Not disclosed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https://www.moex.com/n101450</x:v>
      </x:c>
      <x:c r="AT31" s="42" t="str">
        <x:v>Дополнительные условия проведения торгов по выкупу облигаций серии 003Р-02 ООО "Концерн "РОССИУМ" 26 июня 2026 года</x:v>
      </x:c>
    </x:row>
    <x:row r="32">
      <x:c r="A32" s="42" t="str">
        <x:v>DL-bec65812ff9fcfae</x:v>
      </x:c>
      <x:c r="B32" s="44" t="n">
        <x:v>46197</x:v>
      </x:c>
      <x:c r="C32" s="42" t="str">
        <x:v>DCM</x:v>
      </x:c>
      <x:c r="D32" s="42" t="str">
        <x:v>watchlist</x:v>
      </x:c>
      <x:c r="E32" s="42" t="str">
        <x:v>Announced</x:v>
      </x:c>
      <x:c r="F32" s="42" t="str">
        <x:v>Selectel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 t="n">
        <x:v>5000000000</x:v>
      </x:c>
      <x:c r="L32" s="45"/>
      <x:c r="M32" s="42" t="str">
        <x:v>RUB</x:v>
      </x:c>
      <x:c r="N32" s="46"/>
      <x:c r="O32" s="42"/>
      <x:c r="P32" s="42"/>
      <x:c r="Q32" s="42" t="str">
        <x:v>Bonds</x:v>
      </x:c>
      <x:c r="R32" s="42" t="str">
        <x:v>Not disclosed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рефинансирования и инвестиций</x:v>
      </x:c>
      <x:c r="AE32" s="45"/>
      <x:c r="AF32" s="45"/>
      <x:c r="AG32" s="44"/>
      <x:c r="AH32" s="42"/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75</x:v>
      </x:c>
      <x:c r="AP32" s="42" t="str">
        <x:v>unverified</x:v>
      </x:c>
      <x:c r="AQ32" s="42" t="n">
        <x:v>1</x:v>
      </x:c>
      <x:c r="AR32" s="42" t="str">
        <x:v>ComNews.ru</x:v>
      </x:c>
      <x:c r="AS32" s="42" t="str">
        <x:v>https://www.comnews.ru/content/246003/2026-06-25/2026-w26/1008/selectel-razmestit-obligacii-5-mlrd-rub-dlya-refinansirovaniya-i-investiciy</x:v>
      </x:c>
      <x:c r="AT32" s="42" t="str">
        <x:v>Selectel разместит облигации на 5 млрд руб.</x:v>
      </x:c>
    </x:row>
    <x:row r="33">
      <x:c r="A33" s="42" t="str">
        <x:v>DL-7a721642a53e0f1d</x:v>
      </x:c>
      <x:c r="B33" s="44" t="n">
        <x:v>46192</x:v>
      </x:c>
      <x:c r="C33" s="42" t="str">
        <x:v>DCM</x:v>
      </x:c>
      <x:c r="D33" s="42" t="str">
        <x:v>deal</x:v>
      </x:c>
      <x:c r="E33" s="42" t="str">
        <x:v>Issued</x:v>
      </x:c>
      <x:c r="F33" s="42" t="str">
        <x:v>Yandex</x:v>
      </x:c>
      <x:c r="G33" s="42" t="str">
        <x:v>Not applicable</x:v>
      </x:c>
      <x:c r="H33" s="42" t="str">
        <x:v>Not applicable</x:v>
      </x:c>
      <x:c r="I33" s="42" t="str">
        <x:v>Technology</x:v>
      </x:c>
      <x:c r="J33" s="42" t="str">
        <x:v>Russia</x:v>
      </x:c>
      <x:c r="K33" s="45" t="n">
        <x:v>60000000000</x:v>
      </x:c>
      <x:c r="L33" s="45"/>
      <x:c r="M33" s="42" t="str">
        <x:v>RUB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Not disclosed</x:v>
      </x:c>
      <x:c r="S33" s="42" t="str">
        <x:v>Not disclosed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approved</x:v>
      </x:c>
      <x:c r="AO33" s="42" t="n">
        <x:v>100</x:v>
      </x:c>
      <x:c r="AP33" s="42" t="str">
        <x:v>confirmed</x:v>
      </x:c>
      <x:c r="AQ33" s="42" t="n">
        <x:v>1</x:v>
      </x:c>
      <x:c r="AR33" s="42" t="str">
        <x:v>Yandex Investor Relations</x:v>
      </x:c>
      <x:c r="AS33" s="42" t="str">
        <x:v>https://ir.yandex.ru/press-releases?year=2026&amp;id=19-06-2026-03</x:v>
      </x:c>
      <x:c r="AT33" s="42" t="str">
        <x:v>Яндекс разместил два выпуска биржевых облигаций на общую сумму 60 млрд рублей</x:v>
      </x:c>
    </x:row>
    <x:row r="34">
      <x:c r="A34" s="42" t="str">
        <x:v>DL-9092ffd6a36a0a81</x:v>
      </x:c>
      <x:c r="B34" s="44" t="n">
        <x:v>46183</x:v>
      </x:c>
      <x:c r="C34" s="42" t="str">
        <x:v>DCM</x:v>
      </x:c>
      <x:c r="D34" s="42" t="str">
        <x:v>watchlist</x:v>
      </x:c>
      <x:c r="E34" s="42" t="str">
        <x:v>Reported</x:v>
      </x:c>
      <x:c r="F34" s="42" t="str">
        <x:v>Норникель</x:v>
      </x:c>
      <x:c r="G34" s="42" t="str">
        <x:v>Not applicable</x:v>
      </x:c>
      <x:c r="H34" s="42" t="str">
        <x:v>Not applicable</x:v>
      </x:c>
      <x:c r="I34" s="42" t="str">
        <x:v>Not classified</x:v>
      </x:c>
      <x:c r="J34" s="42" t="str">
        <x:v>Not disclosed</x:v>
      </x:c>
      <x:c r="K34" s="45" t="n">
        <x:v>3000000000</x:v>
      </x:c>
      <x:c r="L34" s="45"/>
      <x:c r="M34" s="42" t="str">
        <x:v>CNY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Not disclosed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/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67</x:v>
      </x:c>
      <x:c r="AP34" s="42" t="str">
        <x:v>unverified</x:v>
      </x:c>
      <x:c r="AQ34" s="42" t="n">
        <x:v>1</x:v>
      </x:c>
      <x:c r="AR34" s="42" t="str">
        <x:v>Интерфакс</x:v>
      </x:c>
      <x:c r="AS34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34" s="42" t="str">
        <x:v>"Норникель" зафиксировал объем размещения облигаций на уровне 3 млрд юаней - Интерфакс</x:v>
      </x:c>
    </x:row>
    <x:row r="35">
      <x:c r="A35" s="42" t="str">
        <x:v>DL-f71ff729dc9f5af4</x:v>
      </x:c>
      <x:c r="B35" s="44" t="n">
        <x:v>46181</x:v>
      </x:c>
      <x:c r="C35" s="42" t="str">
        <x:v>DCM</x:v>
      </x:c>
      <x:c r="D35" s="42" t="str">
        <x:v>watchlist</x:v>
      </x:c>
      <x:c r="E35" s="42" t="str">
        <x:v>Reported</x:v>
      </x:c>
      <x:c r="F35" s="42" t="str">
        <x:v>Yandex</x:v>
      </x:c>
      <x:c r="G35" s="42" t="str">
        <x:v>Not applicable</x:v>
      </x:c>
      <x:c r="H35" s="42" t="str">
        <x:v>Not applicable</x:v>
      </x:c>
      <x:c r="I35" s="42" t="str">
        <x:v>Not classified</x:v>
      </x:c>
      <x:c r="J35" s="42" t="str">
        <x:v>Not disclosed</x:v>
      </x:c>
      <x:c r="K35" s="45"/>
      <x:c r="L35" s="45"/>
      <x:c r="M35" s="42" t="str">
        <x:v>Not disclosed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Not disclosed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rejected</x:v>
      </x:c>
      <x:c r="AO35" s="42" t="n">
        <x:v>15</x:v>
      </x:c>
      <x:c r="AP35" s="42" t="str">
        <x:v>unverified</x:v>
      </x:c>
      <x:c r="AQ35" s="42" t="n">
        <x:v>2</x:v>
      </x:c>
      <x:c r="AR35" s="42" t="str">
        <x:v>Финам</x:v>
      </x:c>
      <x:c r="AS35" s="42" t="str">
        <x:v>https://www.finam.ru/publications/item/yandeks-vnov-vykhodit-na-dolgovoy-rynok-razbor-dvoynogo-razmeshcheniya-obligatsiy-20260608-1729/</x:v>
      </x:c>
      <x:c r="AT35" s="42" t="str">
        <x:v>«Яндекс» вновь выходит на долговой рынок: разбор двойного размещения облигаций - Финам</x:v>
      </x:c>
    </x:row>
    <x:row r="36">
      <x:c r="A36" s="42" t="str">
        <x:v>DL-c0e4b0469b5eb473</x:v>
      </x:c>
      <x:c r="B36" s="44" t="n">
        <x:v>46177</x:v>
      </x:c>
      <x:c r="C36" s="42" t="str">
        <x:v>M&amp;A</x:v>
      </x:c>
      <x:c r="D36" s="42" t="str">
        <x:v>denial</x:v>
      </x:c>
      <x:c r="E36" s="42" t="str">
        <x:v>Denied</x:v>
      </x:c>
      <x:c r="F36" s="42" t="str">
        <x:v>Ozon</x:v>
      </x:c>
      <x:c r="G36" s="42" t="str">
        <x:v>Sber</x:v>
      </x:c>
      <x:c r="H36" s="42" t="str">
        <x:v>Not disclosed</x:v>
      </x:c>
      <x:c r="I36" s="42" t="str">
        <x:v>Not classified</x:v>
      </x:c>
      <x:c r="J36" s="42" t="str">
        <x:v>Russia</x:v>
      </x:c>
      <x:c r="K36" s="45"/>
      <x:c r="L36" s="45"/>
      <x:c r="M36" s="42" t="str">
        <x:v>Not disclosed</x:v>
      </x:c>
      <x:c r="N36" s="46" t="n">
        <x:v>0.07</x:v>
      </x:c>
      <x:c r="O36" s="42" t="str">
        <x:v>Shares</x:v>
      </x:c>
      <x:c r="P36" s="42" t="str">
        <x:v>Not disclosed</x:v>
      </x:c>
      <x:c r="Q36" s="42" t="str">
        <x:v>Acquisition / disposal</x:v>
      </x:c>
      <x:c r="R36" s="42" t="str">
        <x:v>Not disclosed</x:v>
      </x:c>
      <x:c r="S36" s="42" t="str">
        <x:v>Not disclosed</x:v>
      </x:c>
      <x:c r="T36" s="46"/>
      <x:c r="U36" s="42" t="str">
        <x:v>Not disclosed</x:v>
      </x:c>
      <x:c r="V36" s="46"/>
      <x:c r="W36" s="44"/>
      <x:c r="X36" s="42" t="str">
        <x:v>Not disclosed</x:v>
      </x:c>
      <x:c r="Y36" s="42"/>
      <x:c r="Z36" s="42"/>
      <x:c r="AA36" s="46"/>
      <x:c r="AB36" s="42" t="str">
        <x:v>Not applicable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review</x:v>
      </x:c>
      <x:c r="AO36" s="42" t="n">
        <x:v>65</x:v>
      </x:c>
      <x:c r="AP36" s="42" t="str">
        <x:v>unverified</x:v>
      </x:c>
      <x:c r="AQ36" s="42" t="n">
        <x:v>10</x:v>
      </x:c>
      <x:c r="AR36" s="42" t="str">
        <x:v>БКС Экспресс</x:v>
      </x:c>
      <x:c r="AS36" s="42" t="str">
        <x:v>https://bcs-express.ru/novosti-i-analitika/gref-oproverg-dogovorennost-sbera-o-pokupke-doli-v-ozone</x:v>
      </x:c>
      <x:c r="AT36" s="42" t="str">
        <x:v>Греф опроверг договоренность Сбера о покупке доли в Озоне - БКС Экспресс</x:v>
      </x:c>
    </x:row>
    <x:row r="37">
      <x:c r="A37" s="42" t="str">
        <x:v>DL-5eba3b27a4e84dd3</x:v>
      </x:c>
      <x:c r="B37" s="44" t="n">
        <x:v>46175</x:v>
      </x:c>
      <x:c r="C37" s="42" t="str">
        <x:v>M&amp;A</x:v>
      </x:c>
      <x:c r="D37" s="42" t="str">
        <x:v>deal</x:v>
      </x:c>
      <x:c r="E37" s="42" t="str">
        <x:v>Closed</x:v>
      </x:c>
      <x:c r="F37" s="42" t="str">
        <x:v>Авто.ру</x:v>
      </x:c>
      <x:c r="G37" s="42" t="str">
        <x:v>Not disclosed</x:v>
      </x:c>
      <x:c r="H37" s="42" t="str">
        <x:v>Yandex</x:v>
      </x:c>
      <x:c r="I37" s="42" t="str">
        <x:v>Technology</x:v>
      </x:c>
      <x:c r="J37" s="42" t="str">
        <x:v>Russia</x:v>
      </x:c>
      <x:c r="K37" s="45" t="n">
        <x:v>35000000000</x:v>
      </x:c>
      <x:c r="L37" s="45"/>
      <x:c r="M37" s="42" t="str">
        <x:v>RUB</x:v>
      </x:c>
      <x:c r="N37" s="46"/>
      <x:c r="O37" s="42" t="str">
        <x:v>Not disclosed</x:v>
      </x:c>
      <x:c r="P37" s="42" t="str">
        <x:v>Not disclosed</x:v>
      </x:c>
      <x:c r="Q37" s="42" t="str">
        <x:v>Acquisition / disposal</x:v>
      </x:c>
      <x:c r="R37" s="42" t="str">
        <x:v>Not disclosed</x:v>
      </x:c>
      <x:c r="S37" s="42" t="str">
        <x:v>Not disclosed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review</x:v>
      </x:c>
      <x:c r="AO37" s="42" t="n">
        <x:v>85</x:v>
      </x:c>
      <x:c r="AP37" s="42" t="str">
        <x:v>confirmed</x:v>
      </x:c>
      <x:c r="AQ37" s="42" t="n">
        <x:v>5</x:v>
      </x:c>
      <x:c r="AR37" s="42" t="str">
        <x:v>Yandex Investor Relations</x:v>
      </x:c>
      <x:c r="AS37" s="42" t="str">
        <x:v>https://ir.yandex.ru/press-releases?year=2026&amp;id=02-06-2026-04</x:v>
      </x:c>
      <x:c r="AT37" s="42" t="str">
        <x:v>Яндекс закрыл сделку по продаже Авто.ру</x:v>
      </x:c>
    </x:row>
    <x:row r="38">
      <x:c r="A38" s="42" t="str">
        <x:v>DL-e08040bba3b952c1</x:v>
      </x:c>
      <x:c r="B38" s="44" t="n">
        <x:v>46170</x:v>
      </x:c>
      <x:c r="C38" s="42" t="str">
        <x:v>M&amp;A</x:v>
      </x:c>
      <x:c r="D38" s="42" t="str">
        <x:v>watchlist</x:v>
      </x:c>
      <x:c r="E38" s="42" t="str">
        <x:v>Rumor</x:v>
      </x:c>
      <x:c r="F38" s="42" t="str">
        <x:v>Островок</x:v>
      </x:c>
      <x:c r="G38" s="42" t="str">
        <x:v>Yandex</x:v>
      </x:c>
      <x:c r="H38" s="42" t="str">
        <x:v>Not disclosed</x:v>
      </x:c>
      <x:c r="I38" s="42" t="str">
        <x:v>Not classified</x:v>
      </x:c>
      <x:c r="J38" s="42" t="str">
        <x:v>Not disclosed</x:v>
      </x:c>
      <x:c r="K38" s="45"/>
      <x:c r="L38" s="45"/>
      <x:c r="M38" s="42" t="str">
        <x:v>Not disclosed</x:v>
      </x:c>
      <x:c r="N38" s="46"/>
      <x:c r="O38" s="42" t="str">
        <x:v>Not disclosed</x:v>
      </x:c>
      <x:c r="P38" s="42" t="str">
        <x:v>Not disclosed</x:v>
      </x:c>
      <x:c r="Q38" s="42" t="str">
        <x:v>Acquisition / disposal</x:v>
      </x:c>
      <x:c r="R38" s="42" t="str">
        <x:v>Not disclosed</x:v>
      </x:c>
      <x:c r="S38" s="42" t="str">
        <x:v>Not disclosed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review</x:v>
      </x:c>
      <x:c r="AO38" s="42" t="n">
        <x:v>67</x:v>
      </x:c>
      <x:c r="AP38" s="42" t="str">
        <x:v>unverified</x:v>
      </x:c>
      <x:c r="AQ38" s="42" t="n">
        <x:v>2</x:v>
      </x:c>
      <x:c r="AR38" s="42" t="str">
        <x:v>Финам</x:v>
      </x:c>
      <x:c r="AS38" s="42" t="str">
        <x:v>https://www.finam.ru/publications/item/yandeks-stal-osnovnym-pretendentom-na-pokupku-ostrovka-20260528-0928/</x:v>
      </x:c>
      <x:c r="AT38" s="42" t="str">
        <x:v>"Яндекс" стал основным претендентом на покупку "Островка" - Финам</x:v>
      </x:c>
    </x:row>
    <x:row r="39">
      <x:c r="A39" s="42" t="str">
        <x:v>DL-54c26c1e05d520bd</x:v>
      </x:c>
      <x:c r="B39" s="44" t="n">
        <x:v>46167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Not disclosed</x:v>
      </x:c>
      <x:c r="K39" s="45"/>
      <x:c r="L39" s="45"/>
      <x:c r="M39" s="42" t="str">
        <x:v>Not disclosed</x:v>
      </x:c>
      <x:c r="N39" s="46"/>
      <x:c r="O39" s="42" t="str">
        <x:v>Shares</x:v>
      </x:c>
      <x:c r="P39" s="42" t="str">
        <x:v>Not disclosed</x:v>
      </x:c>
      <x:c r="Q39" s="42" t="str">
        <x:v>Acquisition / disposal</x:v>
      </x:c>
      <x:c r="R39" s="42" t="str">
        <x:v>Not disclosed</x:v>
      </x:c>
      <x:c r="S39" s="42" t="str">
        <x:v>Not disclosed</x:v>
      </x:c>
      <x:c r="T39" s="46"/>
      <x:c r="U39" s="42" t="str">
        <x:v>Not disclosed</x:v>
      </x:c>
      <x:c r="V39" s="46"/>
      <x:c r="W39" s="44"/>
      <x:c r="X39" s="42" t="str">
        <x:v>Not disclosed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2</x:v>
      </x:c>
      <x:c r="AR39" s="42" t="str">
        <x:v>Финам</x:v>
      </x:c>
      <x:c r="AS39" s="42" t="str">
        <x:v>https://www.finam.ru/publications/item/posledniy-den-pokupki-aktsiy-ozona-pod-dividendy-25-maya-20260525-0652/</x:v>
      </x:c>
      <x:c r="AT39" s="42" t="str">
        <x:v>25.05.26 Последний день покупки акций “Озона” под дивиденды - 25 мая - Финам</x:v>
      </x:c>
    </x:row>
    <x:row r="40">
      <x:c r="A40" s="42" t="str">
        <x:v>DL-71b6decbb78f4293</x:v>
      </x:c>
      <x:c r="B40" s="44" t="n">
        <x:v>46162</x:v>
      </x:c>
      <x:c r="C40" s="42" t="str">
        <x:v>ECM</x:v>
      </x:c>
      <x:c r="D40" s="42" t="str">
        <x:v>watchlist</x:v>
      </x:c>
      <x:c r="E40" s="42" t="str">
        <x:v>Reported</x:v>
      </x:c>
      <x:c r="F40" s="42" t="str">
        <x:v>Ozon</x:v>
      </x:c>
      <x:c r="G40" s="42" t="str">
        <x:v>Not applicable</x:v>
      </x:c>
      <x:c r="H40" s="42" t="str">
        <x:v>Not applicable</x:v>
      </x:c>
      <x:c r="I40" s="42" t="str">
        <x:v>Not classified</x:v>
      </x:c>
      <x:c r="J40" s="42" t="str">
        <x:v>Not disclosed</x:v>
      </x:c>
      <x:c r="K40" s="45"/>
      <x:c r="L40" s="45"/>
      <x:c r="M40" s="42" t="str">
        <x:v>Not disclosed</x:v>
      </x:c>
      <x:c r="N40" s="46"/>
      <x:c r="O40" s="42" t="str">
        <x:v>Not applicable</x:v>
      </x:c>
      <x:c r="P40" s="42" t="str">
        <x:v>Not disclosed</x:v>
      </x:c>
      <x:c r="Q40" s="42" t="str">
        <x:v>Equity issuance</x:v>
      </x:c>
      <x:c r="R40" s="42" t="str">
        <x:v>Not disclosed</x:v>
      </x:c>
      <x:c r="S40" s="42" t="str">
        <x:v>Not disclosed</x:v>
      </x:c>
      <x:c r="T40" s="46"/>
      <x:c r="U40" s="42" t="str">
        <x:v>Not disclosed</x:v>
      </x:c>
      <x:c r="V40" s="46"/>
      <x:c r="W40" s="44"/>
      <x:c r="X40" s="42" t="str">
        <x:v>Not disclosed</x:v>
      </x:c>
      <x:c r="Y40" s="42"/>
      <x:c r="Z40" s="42"/>
      <x:c r="AA40" s="46"/>
      <x:c r="AB40" s="42" t="str">
        <x:v>Not disclosed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rejected</x:v>
      </x:c>
      <x:c r="AO40" s="42" t="n">
        <x:v>15</x:v>
      </x:c>
      <x:c r="AP40" s="42" t="str">
        <x:v>unverified</x:v>
      </x:c>
      <x:c r="AQ40" s="42" t="n">
        <x:v>1</x:v>
      </x:c>
      <x:c r="AR40" s="42" t="str">
        <x:v>БКС Экспресс</x:v>
      </x:c>
      <x:c r="AS40" s="42" t="str">
        <x:v>https://bcs-express.ru/novosti-i-analitika/aktsionery-ozon-utverdili-final-nye-dividendy-za-2025</x:v>
      </x:c>
      <x:c r="AT40" s="42" t="str">
        <x:v>Акционеры Озона утвердили финальные дивиденды за 2025 - БКС Экспресс</x:v>
      </x:c>
    </x:row>
    <x:row r="41">
      <x:c r="A41" s="42" t="str">
        <x:v>DL-38b5154e2b53df8c</x:v>
      </x:c>
      <x:c r="B41" s="44" t="n">
        <x:v>46157</x:v>
      </x:c>
      <x:c r="C41" s="42" t="str">
        <x:v>ECM</x:v>
      </x:c>
      <x:c r="D41" s="42" t="str">
        <x:v>watchlist</x:v>
      </x:c>
      <x:c r="E41" s="42" t="str">
        <x:v>Reported</x:v>
      </x:c>
      <x:c r="F41" s="42" t="str">
        <x:v>Ozon</x:v>
      </x:c>
      <x:c r="G41" s="42" t="str">
        <x:v>Not applicable</x:v>
      </x:c>
      <x:c r="H41" s="42" t="str">
        <x:v>Not applicable</x:v>
      </x:c>
      <x:c r="I41" s="42" t="str">
        <x:v>Financials</x:v>
      </x:c>
      <x:c r="J41" s="42" t="str">
        <x:v>Not disclosed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Equity issuance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disclosed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rejected</x:v>
      </x:c>
      <x:c r="AO41" s="42" t="n">
        <x:v>15</x:v>
      </x:c>
      <x:c r="AP41" s="42" t="str">
        <x:v>unverified</x:v>
      </x:c>
      <x:c r="AQ41" s="42" t="n">
        <x:v>2</x:v>
      </x:c>
      <x:c r="AR41" s="42" t="str">
        <x:v>Финам</x:v>
      </x:c>
      <x:c r="AS41" s="42" t="str">
        <x:v>https://www.finam.ru/publications/item/otchetnosti-zaymera-bsp-i-sovkombanka-dividendnyy-vopros-u-ozona-i-md-medikal-osnovnye-sobytiya-15-maya-20260515-0900/</x:v>
      </x:c>
      <x:c r="AT41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42">
      <x:c r="A42" s="42" t="str">
        <x:v>DL-32f044efd41bc454</x:v>
      </x:c>
      <x:c r="B42" s="44" t="n">
        <x:v>46157</x:v>
      </x:c>
      <x:c r="C42" s="42" t="str">
        <x:v>M&amp;A</x:v>
      </x:c>
      <x:c r="D42" s="42" t="str">
        <x:v>watchlist</x:v>
      </x:c>
      <x:c r="E42" s="42" t="str">
        <x:v>Reported</x:v>
      </x:c>
      <x:c r="F42" s="42" t="str">
        <x:v>Not disclosed</x:v>
      </x:c>
      <x:c r="G42" s="42" t="str">
        <x:v>Not disclosed</x:v>
      </x:c>
      <x:c r="H42" s="42" t="str">
        <x:v>Not disclosed</x:v>
      </x:c>
      <x:c r="I42" s="42" t="str">
        <x:v>Not classified</x:v>
      </x:c>
      <x:c r="J42" s="42" t="str">
        <x:v>Not disclosed</x:v>
      </x:c>
      <x:c r="K42" s="45"/>
      <x:c r="L42" s="45"/>
      <x:c r="M42" s="42" t="str">
        <x:v>Not disclosed</x:v>
      </x:c>
      <x:c r="N42" s="46"/>
      <x:c r="O42" s="42" t="str">
        <x:v>Shares</x:v>
      </x:c>
      <x:c r="P42" s="42" t="str">
        <x:v>Not disclosed</x:v>
      </x:c>
      <x:c r="Q42" s="42" t="str">
        <x:v>Acquisition / disposal</x:v>
      </x:c>
      <x:c r="R42" s="42" t="str">
        <x:v>Not disclosed</x:v>
      </x:c>
      <x:c r="S42" s="42" t="str">
        <x:v>Not disclosed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rejected</x:v>
      </x:c>
      <x:c r="AO42" s="42" t="n">
        <x:v>0</x:v>
      </x:c>
      <x:c r="AP42" s="42" t="str">
        <x:v>unverified</x:v>
      </x:c>
      <x:c r="AQ42" s="42" t="n">
        <x:v>1</x:v>
      </x:c>
      <x:c r="AR42" s="42" t="str">
        <x:v>Интерфакс</x:v>
      </x:c>
      <x:c r="AS42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42" s="42" t="str">
        <x:v>Трамп в I квартале совершал сделки с акциями Nvidia и Boeing - Интерфакс</x:v>
      </x:c>
    </x:row>
    <x:row r="43">
      <x:c r="A43" s="42" t="str">
        <x:v>DL-71608263fecb5e53</x:v>
      </x:c>
      <x:c r="B43" s="44" t="n">
        <x:v>46150</x:v>
      </x:c>
      <x:c r="C43" s="42" t="str">
        <x:v>DCM</x:v>
      </x:c>
      <x:c r="D43" s="42" t="str">
        <x:v>watchlist</x:v>
      </x:c>
      <x:c r="E43" s="42" t="str">
        <x:v>Reported</x:v>
      </x:c>
      <x:c r="F43" s="42" t="str">
        <x:v>Делимобиль</x:v>
      </x:c>
      <x:c r="G43" s="42" t="str">
        <x:v>Not applicable</x:v>
      </x:c>
      <x:c r="H43" s="42" t="str">
        <x:v>Not applicable</x:v>
      </x:c>
      <x:c r="I43" s="42" t="str">
        <x:v>Not classified</x:v>
      </x:c>
      <x:c r="J43" s="42" t="str">
        <x:v>Russia</x:v>
      </x:c>
      <x:c r="K43" s="45" t="n">
        <x:v>1900000000</x:v>
      </x:c>
      <x:c r="L43" s="45"/>
      <x:c r="M43" s="42" t="str">
        <x:v>RUB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Not disclosed</x:v>
      </x:c>
      <x:c r="S43" s="42" t="str">
        <x:v>Not disclosed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rejected</x:v>
      </x:c>
      <x:c r="AO43" s="42" t="n">
        <x:v>7</x:v>
      </x:c>
      <x:c r="AP43" s="42" t="str">
        <x:v>unverified</x:v>
      </x:c>
      <x:c r="AQ43" s="42" t="n">
        <x:v>1</x:v>
      </x:c>
      <x:c r="AR43" s="42" t="str">
        <x:v>Интерфакс</x:v>
      </x:c>
      <x:c r="AS43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43" s="42" t="str">
        <x:v>"Делимобиль" перечислил в НРД средства для погашения выпуска облигаций на 1,9 млрд рублей - Интерфакс</x:v>
      </x:c>
    </x:row>
    <x:row r="44">
      <x:c r="A44" s="42" t="str">
        <x:v>DL-2848bdd8b067faa2</x:v>
      </x:c>
      <x:c r="B44" s="44" t="n">
        <x:v>46147</x:v>
      </x:c>
      <x:c r="C44" s="42" t="str">
        <x:v>ECM</x:v>
      </x:c>
      <x:c r="D44" s="42" t="str">
        <x:v>watchlist</x:v>
      </x:c>
      <x:c r="E44" s="42" t="str">
        <x:v>Reported</x:v>
      </x:c>
      <x:c r="F44" s="42" t="str">
        <x:v>Yandex</x:v>
      </x:c>
      <x:c r="G44" s="42" t="str">
        <x:v>Not applicable</x:v>
      </x:c>
      <x:c r="H44" s="42" t="str">
        <x:v>Not applicable</x:v>
      </x:c>
      <x:c r="I44" s="42" t="str">
        <x:v>Not classified</x:v>
      </x:c>
      <x:c r="J44" s="42" t="str">
        <x:v>Russia</x:v>
      </x:c>
      <x:c r="K44" s="45" t="n">
        <x:v>50000000000</x:v>
      </x:c>
      <x:c r="L44" s="45"/>
      <x:c r="M44" s="42" t="str">
        <x:v>RUB</x:v>
      </x:c>
      <x:c r="N44" s="46"/>
      <x:c r="O44" s="42" t="str">
        <x:v>Not applicable</x:v>
      </x:c>
      <x:c r="P44" s="42" t="str">
        <x:v>Not disclosed</x:v>
      </x:c>
      <x:c r="Q44" s="42" t="str">
        <x:v>Equity issuance</x:v>
      </x:c>
      <x:c r="R44" s="42" t="str">
        <x:v>Not disclosed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/>
      <x:c r="Z44" s="42"/>
      <x:c r="AA44" s="46"/>
      <x:c r="AB44" s="42" t="str">
        <x:v>Not disclosed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75</x:v>
      </x:c>
      <x:c r="AP44" s="42" t="str">
        <x:v>unverified</x:v>
      </x:c>
      <x:c r="AQ44" s="42" t="n">
        <x:v>2</x:v>
      </x:c>
      <x:c r="AR44" s="42" t="str">
        <x:v>БКС Экспресс</x:v>
      </x:c>
      <x:c r="AS44" s="42" t="str">
        <x:v>https://bcs-express.ru/novosti-i-analitika/iandeks-odobril-vykup-aktsii-na-50-mlrd-rublei</x:v>
      </x:c>
      <x:c r="AT44" s="42" t="str">
        <x:v>Яндекс одобрил выкуп акций на 50 млрд рублей - БКС Экспресс</x:v>
      </x:c>
    </x:row>
    <x:row r="45">
      <x:c r="A45" s="42" t="str">
        <x:v>DL-3d4a31cc3b7936d0</x:v>
      </x:c>
      <x:c r="B45" s="44" t="n">
        <x:v>46146</x:v>
      </x:c>
      <x:c r="C45" s="42" t="str">
        <x:v>ECM</x:v>
      </x:c>
      <x:c r="D45" s="42" t="str">
        <x:v>watchlist</x:v>
      </x:c>
      <x:c r="E45" s="42" t="str">
        <x:v>Reported</x:v>
      </x:c>
      <x:c r="F45" s="42" t="str">
        <x:v>Yandex</x:v>
      </x:c>
      <x:c r="G45" s="42" t="str">
        <x:v>Not applicable</x:v>
      </x:c>
      <x:c r="H45" s="42" t="str">
        <x:v>Not applicable</x:v>
      </x:c>
      <x:c r="I45" s="42" t="str">
        <x:v>Energy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Equity issuance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disclosed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rejected</x:v>
      </x:c>
      <x:c r="AO45" s="42" t="n">
        <x:v>15</x:v>
      </x:c>
      <x:c r="AP45" s="42" t="str">
        <x:v>unverified</x:v>
      </x:c>
      <x:c r="AQ45" s="42" t="n">
        <x:v>2</x:v>
      </x:c>
      <x:c r="AR45" s="42" t="str">
        <x:v>SberCIB</x:v>
      </x:c>
      <x:c r="AS45" s="42" t="str">
        <x:v>https://sbercib.ru/publication/rezultati-ozon-dom-rf-dividendi-yandeksa-i-tatnefti-i-drugie-novosti-nedeli</x:v>
      </x:c>
      <x:c r="AT45" s="42" t="str">
        <x:v>Результаты Ozon, ДОМ.</x:v>
      </x:c>
    </x:row>
    <x:row r="46">
      <x:c r="A46" s="42" t="str">
        <x:v>DL-6bc0569f7ac374fe</x:v>
      </x:c>
      <x:c r="B46" s="44" t="n">
        <x:v>46139</x:v>
      </x:c>
      <x:c r="C46" s="42" t="str">
        <x:v>M&amp;A</x:v>
      </x:c>
      <x:c r="D46" s="42" t="str">
        <x:v>watchlist</x:v>
      </x:c>
      <x:c r="E46" s="42" t="str">
        <x:v>Reported</x:v>
      </x:c>
      <x:c r="F46" s="42" t="str">
        <x:v>Not disclosed</x:v>
      </x:c>
      <x:c r="G46" s="42" t="str">
        <x:v>Not disclosed</x:v>
      </x:c>
      <x:c r="H46" s="42" t="str">
        <x:v>Not disclosed</x:v>
      </x:c>
      <x:c r="I46" s="42" t="str">
        <x:v>Financials</x:v>
      </x:c>
      <x:c r="J46" s="42" t="str">
        <x:v>Not disclosed</x:v>
      </x:c>
      <x:c r="K46" s="45"/>
      <x:c r="L46" s="45"/>
      <x:c r="M46" s="42" t="str">
        <x:v>Not disclosed</x:v>
      </x:c>
      <x:c r="N46" s="46"/>
      <x:c r="O46" s="42" t="str">
        <x:v>Shares</x:v>
      </x:c>
      <x:c r="P46" s="42" t="str">
        <x:v>Not disclosed</x:v>
      </x:c>
      <x:c r="Q46" s="42" t="str">
        <x:v>Acquisition / disposal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rejected</x:v>
      </x:c>
      <x:c r="AO46" s="42" t="n">
        <x:v>0</x:v>
      </x:c>
      <x:c r="AP46" s="42" t="str">
        <x:v>unverified</x:v>
      </x:c>
      <x:c r="AQ46" s="42" t="n">
        <x:v>2</x:v>
      </x:c>
      <x:c r="AR46" s="42" t="str">
        <x:v>Ведомости</x:v>
      </x:c>
      <x:c r="AS46" s="42" t="str">
        <x:v>https://www.vedomosti.ru/finance/news/2026/04/27/1193355-putin-isklyuchil</x:v>
      </x:c>
      <x:c r="AT46" s="42" t="str">
        <x:v>Путин исключил «Озон банк» из списка с запретом на сделки с акциями и долями - Ведомости</x:v>
      </x:c>
    </x:row>
    <x:row r="47">
      <x:c r="A47" s="42" t="str">
        <x:v>DL-cc671fa6b14f8f28</x:v>
      </x:c>
      <x:c r="B47" s="44" t="n">
        <x:v>46139</x:v>
      </x:c>
      <x:c r="C47" s="42" t="str">
        <x:v>M&amp;A</x:v>
      </x:c>
      <x:c r="D47" s="42" t="str">
        <x:v>watchlist</x:v>
      </x:c>
      <x:c r="E47" s="42" t="str">
        <x:v>Reported</x:v>
      </x:c>
      <x:c r="F47" s="42" t="str">
        <x:v>Not disclosed</x:v>
      </x:c>
      <x:c r="G47" s="42" t="str">
        <x:v>Not disclosed</x:v>
      </x:c>
      <x:c r="H47" s="42" t="str">
        <x:v>Not disclosed</x:v>
      </x:c>
      <x:c r="I47" s="42" t="str">
        <x:v>Financials</x:v>
      </x:c>
      <x:c r="J47" s="42" t="str">
        <x:v>Not disclosed</x:v>
      </x:c>
      <x:c r="K47" s="45"/>
      <x:c r="L47" s="45"/>
      <x:c r="M47" s="42" t="str">
        <x:v>Not disclosed</x:v>
      </x:c>
      <x:c r="N47" s="46"/>
      <x:c r="O47" s="42" t="str">
        <x:v>Shares</x:v>
      </x:c>
      <x:c r="P47" s="42" t="str">
        <x:v>Not disclosed</x:v>
      </x:c>
      <x:c r="Q47" s="42" t="str">
        <x:v>Acquisition / disposal</x:v>
      </x:c>
      <x:c r="R47" s="42" t="str">
        <x:v>Not disclosed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/>
      <x:c r="Z47" s="42"/>
      <x:c r="AA47" s="46"/>
      <x:c r="AB47" s="42" t="str">
        <x:v>Not applicable</x:v>
      </x:c>
      <x:c r="AC47" s="46"/>
      <x:c r="AD47" s="42" t="str">
        <x:v>Not disclosed</x:v>
      </x:c>
      <x:c r="AE47" s="45"/>
      <x:c r="AF47" s="45"/>
      <x:c r="AG47" s="44"/>
      <x:c r="AH47" s="42" t="str">
        <x:v>Not disclosed</x:v>
      </x:c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rejected</x:v>
      </x:c>
      <x:c r="AO47" s="42" t="n">
        <x:v>0</x:v>
      </x:c>
      <x:c r="AP47" s="42" t="str">
        <x:v>unverified</x:v>
      </x:c>
      <x:c r="AQ47" s="42" t="n">
        <x:v>2</x:v>
      </x:c>
      <x:c r="AR47" s="42" t="str">
        <x:v>БКС Экспресс</x:v>
      </x:c>
      <x:c r="AS47" s="42" t="str">
        <x:v>https://bcs-express.ru/novosti-i-analitika/ozon-bank-iskliuchen-iz-perechnia-bankov-s-aktsiiami-kotorykh-zapreshcheny-sdelki</x:v>
      </x:c>
      <x:c r="AT47" s="42" t="str">
        <x:v>Ozon Банк исключен из перечня банков, с акциями которых запрещены сделки - БКС Экспресс</x:v>
      </x:c>
    </x:row>
    <x:row r="48">
      <x:c r="A48" s="42" t="str">
        <x:v>DL-2d1ef3023240f32a</x:v>
      </x:c>
      <x:c r="B48" s="44" t="n">
        <x:v>46139</x:v>
      </x:c>
      <x:c r="C48" s="42" t="str">
        <x:v>M&amp;A</x:v>
      </x:c>
      <x:c r="D48" s="42" t="str">
        <x:v>watchlist</x:v>
      </x:c>
      <x:c r="E48" s="42" t="str">
        <x:v>Reported</x:v>
      </x:c>
      <x:c r="F48" s="42" t="str">
        <x:v>Not disclosed</x:v>
      </x:c>
      <x:c r="G48" s="42" t="str">
        <x:v>Ozon</x:v>
      </x:c>
      <x:c r="H48" s="42" t="str">
        <x:v>Not disclosed</x:v>
      </x:c>
      <x:c r="I48" s="42" t="str">
        <x:v>Financials</x:v>
      </x:c>
      <x:c r="J48" s="42" t="str">
        <x:v>Russia</x:v>
      </x:c>
      <x:c r="K48" s="45"/>
      <x:c r="L48" s="45"/>
      <x:c r="M48" s="42" t="str">
        <x:v>Not disclosed</x:v>
      </x:c>
      <x:c r="N48" s="46"/>
      <x:c r="O48" s="42" t="str">
        <x:v>Shares</x:v>
      </x:c>
      <x:c r="P48" s="42" t="str">
        <x:v>Not disclosed</x:v>
      </x:c>
      <x:c r="Q48" s="42" t="str">
        <x:v>Acquisition / disposal</x:v>
      </x:c>
      <x:c r="R48" s="42" t="str">
        <x:v>Not disclosed</x:v>
      </x:c>
      <x:c r="S48" s="42" t="str">
        <x:v>INVESTFUTURE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rejected</x:v>
      </x:c>
      <x:c r="AO48" s="42" t="n">
        <x:v>0</x:v>
      </x:c>
      <x:c r="AP48" s="42" t="str">
        <x:v>unverified</x:v>
      </x:c>
      <x:c r="AQ48" s="42" t="n">
        <x:v>3</x:v>
      </x:c>
      <x:c r="AR48" s="42" t="str">
        <x:v>Главпортал</x:v>
      </x:c>
      <x:c r="AS48" s="42" t="str">
        <x:v>https://glavportal.com/news/putin-razreshil-sdelki-s-akciyami-ozon-banka</x:v>
      </x:c>
      <x:c r="AT48" s="42" t="str">
        <x:v>Путин разрешил сделки с акциями «Озон банка» - Главпортал</x:v>
      </x:c>
    </x:row>
    <x:row r="49">
      <x:c r="A49" s="42" t="str">
        <x:v>DL-dd21f961f579e55a</x:v>
      </x:c>
      <x:c r="B49" s="44" t="n">
        <x:v>46139</x:v>
      </x:c>
      <x:c r="C49" s="42" t="str">
        <x:v>M&amp;A</x:v>
      </x:c>
      <x:c r="D49" s="42" t="str">
        <x:v>watchlist</x:v>
      </x:c>
      <x:c r="E49" s="42" t="str">
        <x:v>Reported</x:v>
      </x:c>
      <x:c r="F49" s="42" t="str">
        <x:v>Not disclosed</x:v>
      </x:c>
      <x:c r="G49" s="42" t="str">
        <x:v>Not disclosed</x:v>
      </x:c>
      <x:c r="H49" s="42" t="str">
        <x:v>Not disclosed</x:v>
      </x:c>
      <x:c r="I49" s="42" t="str">
        <x:v>Financials</x:v>
      </x:c>
      <x:c r="J49" s="42" t="str">
        <x:v>Not disclosed</x:v>
      </x:c>
      <x:c r="K49" s="45"/>
      <x:c r="L49" s="45"/>
      <x:c r="M49" s="42" t="str">
        <x:v>Not disclosed</x:v>
      </x:c>
      <x:c r="N49" s="46"/>
      <x:c r="O49" s="42" t="str">
        <x:v>Shares</x:v>
      </x:c>
      <x:c r="P49" s="42" t="str">
        <x:v>Not disclosed</x:v>
      </x:c>
      <x:c r="Q49" s="42" t="str">
        <x:v>Acquisition / disposal</x:v>
      </x:c>
      <x:c r="R49" s="42" t="str">
        <x:v>Not disclosed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rejected</x:v>
      </x:c>
      <x:c r="AO49" s="42" t="n">
        <x:v>0</x:v>
      </x:c>
      <x:c r="AP49" s="42" t="str">
        <x:v>unverified</x:v>
      </x:c>
      <x:c r="AQ49" s="42" t="n">
        <x:v>2</x:v>
      </x:c>
      <x:c r="AR49" s="42" t="str">
        <x:v>Реальное время</x:v>
      </x:c>
      <x:c r="AS49" s="42" t="str">
        <x:v>https://realnoevremya.ru/news/394463-s-ozon-banka-snyali-ogranicheniya-na-sdelki-s-akciyami-rasporyazhenie-putina</x:v>
      </x:c>
      <x:c r="AT49" s="42" t="str">
        <x:v>С «Озон банка» сняли ограничения на сделки с акциями — распоряжение Путина - Реальное время</x:v>
      </x:c>
    </x:row>
    <x:row r="50">
      <x:c r="A50" s="42" t="str">
        <x:v>DL-0bceebeca9933dc3</x:v>
      </x:c>
      <x:c r="B50" s="44" t="n">
        <x:v>46132</x:v>
      </x:c>
      <x:c r="C50" s="42" t="str">
        <x:v>DCM</x:v>
      </x:c>
      <x:c r="D50" s="42" t="str">
        <x:v>watchlist</x:v>
      </x:c>
      <x:c r="E50" s="42" t="str">
        <x:v>Reported</x:v>
      </x:c>
      <x:c r="F50" s="42" t="str">
        <x:v>Ozon</x:v>
      </x:c>
      <x:c r="G50" s="42" t="str">
        <x:v>Not applicable</x:v>
      </x:c>
      <x:c r="H50" s="42" t="str">
        <x:v>Not applicable</x:v>
      </x:c>
      <x:c r="I50" s="42" t="str">
        <x:v>Financials</x:v>
      </x:c>
      <x:c r="J50" s="42" t="str">
        <x:v>Not disclosed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Not disclosed</x:v>
      </x:c>
      <x:c r="S50" s="42" t="str">
        <x:v>Not disclosed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rejected</x:v>
      </x:c>
      <x:c r="AO50" s="42" t="n">
        <x:v>15</x:v>
      </x:c>
      <x:c r="AP50" s="42" t="str">
        <x:v>unverified</x:v>
      </x:c>
      <x:c r="AQ50" s="42" t="n">
        <x:v>2</x:v>
      </x:c>
      <x:c r="AR50" s="42" t="str">
        <x:v>Альфа-Банк</x:v>
      </x:c>
      <x:c r="AS50" s="42" t="str">
        <x:v>https://alfabank.ru/alfa-investor/t/obligatsii-ozona-zarabotay-na-marketpleyse/</x:v>
      </x:c>
      <x:c r="AT50" s="42" t="str">
        <x:v>Облигации Озона: заработай на маркетплейсе - Альфа-Банк</x:v>
      </x:c>
    </x:row>
    <x:row r="51">
      <x:c r="A51" s="42" t="str">
        <x:v>DL-e65aa610a439e531</x:v>
      </x:c>
      <x:c r="B51" s="44" t="n">
        <x:v>46132</x:v>
      </x:c>
      <x:c r="C51" s="42" t="str">
        <x:v>ECM</x:v>
      </x:c>
      <x:c r="D51" s="42" t="str">
        <x:v>watchlist</x:v>
      </x:c>
      <x:c r="E51" s="42" t="str">
        <x:v>Reported</x:v>
      </x:c>
      <x:c r="F51" s="42" t="str">
        <x:v>Yandex</x:v>
      </x:c>
      <x:c r="G51" s="42" t="str">
        <x:v>Not applicable</x:v>
      </x:c>
      <x:c r="H51" s="42" t="str">
        <x:v>Not applicable</x:v>
      </x:c>
      <x:c r="I51" s="42" t="str">
        <x:v>Not classified</x:v>
      </x:c>
      <x:c r="J51" s="42" t="str">
        <x:v>Russia</x:v>
      </x:c>
      <x:c r="K51" s="45"/>
      <x:c r="L51" s="45"/>
      <x:c r="M51" s="42" t="str">
        <x:v>Not disclosed</x:v>
      </x:c>
      <x:c r="N51" s="46"/>
      <x:c r="O51" s="42" t="str">
        <x:v>Not applicable</x:v>
      </x:c>
      <x:c r="P51" s="42" t="str">
        <x:v>Not disclosed</x:v>
      </x:c>
      <x:c r="Q51" s="42" t="str">
        <x:v>Equity issuance</x:v>
      </x:c>
      <x:c r="R51" s="42" t="str">
        <x:v>Not disclosed</x:v>
      </x:c>
      <x:c r="S51" s="42" t="str">
        <x:v>Not disclosed</x:v>
      </x:c>
      <x:c r="T51" s="46"/>
      <x:c r="U51" s="42" t="str">
        <x:v>Not disclosed</x:v>
      </x:c>
      <x:c r="V51" s="46"/>
      <x:c r="W51" s="44"/>
      <x:c r="X51" s="42" t="str">
        <x:v>Not disclosed</x:v>
      </x:c>
      <x:c r="Y51" s="42"/>
      <x:c r="Z51" s="42"/>
      <x:c r="AA51" s="46"/>
      <x:c r="AB51" s="42" t="str">
        <x:v>Not disclosed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rejected</x:v>
      </x:c>
      <x:c r="AO51" s="42" t="n">
        <x:v>15</x:v>
      </x:c>
      <x:c r="AP51" s="42" t="str">
        <x:v>unverified</x:v>
      </x:c>
      <x:c r="AQ51" s="42" t="n">
        <x:v>2</x:v>
      </x:c>
      <x:c r="AR51" s="42" t="str">
        <x:v>https://expert.ru</x:v>
      </x:c>
      <x:c r="AS51" s="42" t="str">
        <x:v>https://expert.ru/news/aktsionery-yandeksa-utverdili-dividendy-za-2025-god-v-razmere-110-rubley</x:v>
      </x:c>
      <x:c r="AT51" s="42" t="str">
        <x:v>Акционеры «Яндекса» утвердили дивиденды за 2025 год в размере 110 рублей - https://expert.ru</x:v>
      </x:c>
    </x:row>
    <x:row r="52">
      <x:c r="A52" s="42" t="str">
        <x:v>DL-0e547964381c1356</x:v>
      </x:c>
      <x:c r="B52" s="44" t="n">
        <x:v>46132</x:v>
      </x:c>
      <x:c r="C52" s="42" t="str">
        <x:v>ECM</x:v>
      </x:c>
      <x:c r="D52" s="42" t="str">
        <x:v>watchlist</x:v>
      </x:c>
      <x:c r="E52" s="42" t="str">
        <x:v>Reported</x:v>
      </x:c>
      <x:c r="F52" s="42" t="str">
        <x:v>Yandex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Not disclosed</x:v>
      </x:c>
      <x:c r="K52" s="45"/>
      <x:c r="L52" s="45"/>
      <x:c r="M52" s="42" t="str">
        <x:v>Not disclosed</x:v>
      </x:c>
      <x:c r="N52" s="46"/>
      <x:c r="O52" s="42" t="str">
        <x:v>Not applicable</x:v>
      </x:c>
      <x:c r="P52" s="42" t="str">
        <x:v>Not disclosed</x:v>
      </x:c>
      <x:c r="Q52" s="42" t="str">
        <x:v>Equity issuance</x:v>
      </x:c>
      <x:c r="R52" s="42" t="str">
        <x:v>Not disclosed</x:v>
      </x:c>
      <x:c r="S52" s="42" t="str">
        <x:v>Not disclosed</x:v>
      </x:c>
      <x:c r="T52" s="46"/>
      <x:c r="U52" s="42" t="str">
        <x:v>Not disclosed</x:v>
      </x:c>
      <x:c r="V52" s="46"/>
      <x:c r="W52" s="44"/>
      <x:c r="X52" s="42" t="str">
        <x:v>Not disclosed</x:v>
      </x:c>
      <x:c r="Y52" s="42"/>
      <x:c r="Z52" s="42"/>
      <x:c r="AA52" s="46"/>
      <x:c r="AB52" s="42" t="str">
        <x:v>Not disclosed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rejected</x:v>
      </x:c>
      <x:c r="AO52" s="42" t="n">
        <x:v>15</x:v>
      </x:c>
      <x:c r="AP52" s="42" t="str">
        <x:v>unverified</x:v>
      </x:c>
      <x:c r="AQ52" s="42" t="n">
        <x:v>2</x:v>
      </x:c>
      <x:c r="AR52" s="42" t="str">
        <x:v>RB.RU</x:v>
      </x:c>
      <x:c r="AS52" s="42" t="str">
        <x:v>https://rb.ru/news/yandeks-odobril-dividendy-po-itogam-2025-go-vyplaty-sostavyat-110-za-akciyu-pochti-na-40-vyshe-chem-v-proshlom-godu/</x:v>
      </x:c>
      <x:c r="AT52" s="42" t="str">
        <x:v>Яндекс утвердил дивиденды по итогам 2025 года — выплаты составят 110 ₽ за акцию - RB.RU</x:v>
      </x:c>
    </x:row>
    <x:row r="53">
      <x:c r="A53" s="42" t="str">
        <x:v>DL-c10daba8af8e67d8</x:v>
      </x:c>
      <x:c r="B53" s="44" t="n">
        <x:v>46128</x:v>
      </x:c>
      <x:c r="C53" s="42" t="str">
        <x:v>M&amp;A</x:v>
      </x:c>
      <x:c r="D53" s="42" t="str">
        <x:v>watchlist</x:v>
      </x:c>
      <x:c r="E53" s="42" t="str">
        <x:v>Reported</x:v>
      </x:c>
      <x:c r="F53" s="42" t="str">
        <x:v>Точка Банка</x:v>
      </x:c>
      <x:c r="G53" s="42" t="str">
        <x:v>Not disclosed</x:v>
      </x:c>
      <x:c r="H53" s="42" t="str">
        <x:v>VK</x:v>
      </x:c>
      <x:c r="I53" s="42" t="str">
        <x:v>Financials</x:v>
      </x:c>
      <x:c r="J53" s="42" t="str">
        <x:v>Not disclosed</x:v>
      </x:c>
      <x:c r="K53" s="45" t="n">
        <x:v>21200000000</x:v>
      </x:c>
      <x:c r="L53" s="45"/>
      <x:c r="M53" s="42" t="str">
        <x:v>RUB</x:v>
      </x:c>
      <x:c r="N53" s="46" t="n">
        <x:v>0.25</x:v>
      </x:c>
      <x:c r="O53" s="42" t="str">
        <x:v>Shares</x:v>
      </x:c>
      <x:c r="P53" s="42" t="str">
        <x:v>Not disclosed</x:v>
      </x:c>
      <x:c r="Q53" s="42" t="str">
        <x:v>Acquisition / disposal</x:v>
      </x:c>
      <x:c r="R53" s="42" t="str">
        <x:v>Not disclosed</x:v>
      </x:c>
      <x:c r="S53" s="42" t="str">
        <x:v>Not disclosed</x:v>
      </x:c>
      <x:c r="T53" s="46"/>
      <x:c r="U53" s="42" t="str">
        <x:v>Not disclosed</x:v>
      </x:c>
      <x:c r="V53" s="46"/>
      <x:c r="W53" s="44"/>
      <x:c r="X53" s="42" t="str">
        <x:v>Not disclosed</x:v>
      </x:c>
      <x:c r="Y53" s="42"/>
      <x:c r="Z53" s="42"/>
      <x:c r="AA53" s="46"/>
      <x:c r="AB53" s="42" t="str">
        <x:v>Not applicable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review</x:v>
      </x:c>
      <x:c r="AO53" s="42" t="n">
        <x:v>60</x:v>
      </x:c>
      <x:c r="AP53" s="42" t="str">
        <x:v>unverified</x:v>
      </x:c>
      <x:c r="AQ53" s="42" t="n">
        <x:v>6</x:v>
      </x:c>
      <x:c r="AR53" s="42" t="str">
        <x:v>RB.RU</x:v>
      </x:c>
      <x:c r="AS53" s="42" t="str">
        <x:v>https://rb.ru/news/vk-prodal-25-akcij-tochka-banka-sdelku-ocenili-v-212-mlrd-vdvoe-vyshe-iznachalnoj-stoimosti-bumag/</x:v>
      </x:c>
      <x:c r="AT53" s="42" t="str">
        <x:v>VK продал 25% акций Точка Банка: сделку оценили в 21,2 млрд ₽ — вдвое выше изначальной стоимости бумаг - RB.RU</x:v>
      </x:c>
    </x:row>
    <x:row r="54">
      <x:c r="A54" s="42" t="str">
        <x:v>DL-4774de17c61c14e4</x:v>
      </x:c>
      <x:c r="B54" s="44" t="n">
        <x:v>46122</x:v>
      </x:c>
      <x:c r="C54" s="42" t="str">
        <x:v>DCM</x:v>
      </x:c>
      <x:c r="D54" s="42" t="str">
        <x:v>watchlist</x:v>
      </x:c>
      <x:c r="E54" s="42" t="str">
        <x:v>Reported</x:v>
      </x:c>
      <x:c r="F54" s="42" t="str">
        <x:v>VK</x:v>
      </x:c>
      <x:c r="G54" s="42" t="str">
        <x:v>Not applicable</x:v>
      </x:c>
      <x:c r="H54" s="42" t="str">
        <x:v>Not applicable</x:v>
      </x:c>
      <x:c r="I54" s="42" t="str">
        <x:v>Not classified</x:v>
      </x:c>
      <x:c r="J54" s="42" t="str">
        <x:v>Not disclosed</x:v>
      </x:c>
      <x:c r="K54" s="45"/>
      <x:c r="L54" s="45"/>
      <x:c r="M54" s="42" t="str">
        <x:v>Not disclosed</x:v>
      </x:c>
      <x:c r="N54" s="46"/>
      <x:c r="O54" s="42" t="str">
        <x:v>Not applicable</x:v>
      </x:c>
      <x:c r="P54" s="42" t="str">
        <x:v>Not disclosed</x:v>
      </x:c>
      <x:c r="Q54" s="42" t="str">
        <x:v>Bonds</x:v>
      </x:c>
      <x:c r="R54" s="42" t="str">
        <x:v>Not disclosed</x:v>
      </x:c>
      <x:c r="S54" s="42" t="str">
        <x:v>Not disclosed</x:v>
      </x:c>
      <x:c r="T54" s="46"/>
      <x:c r="U54" s="42" t="str">
        <x:v>Not disclosed</x:v>
      </x:c>
      <x:c r="V54" s="46"/>
      <x:c r="W54" s="44"/>
      <x:c r="X54" s="42" t="str">
        <x:v>Not disclosed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review</x:v>
      </x:c>
      <x:c r="AO54" s="42" t="n">
        <x:v>75</x:v>
      </x:c>
      <x:c r="AP54" s="42" t="str">
        <x:v>unverified</x:v>
      </x:c>
      <x:c r="AQ54" s="42" t="n">
        <x:v>1</x:v>
      </x:c>
      <x:c r="AR54" s="42" t="str">
        <x:v>Финам</x:v>
      </x:c>
      <x:c r="AS54" s="42" t="str">
        <x:v>https://www.finam.ru/publications/item/dvoynoe-razmeshchenie-obligatsiy-vk-chego-zhdat-chastnym-investoram-20260410-1829/</x:v>
      </x:c>
      <x:c r="AT54" s="42" t="str">
        <x:v>Двойное размещение облигаций VK.</x:v>
      </x:c>
    </x:row>
    <x:row r="55">
      <x:c r="A55" s="42" t="str">
        <x:v>DL-87f81143148d7276</x:v>
      </x:c>
      <x:c r="B55" s="44" t="n">
        <x:v>46122</x:v>
      </x:c>
      <x:c r="C55" s="42" t="str">
        <x:v>ECM</x:v>
      </x:c>
      <x:c r="D55" s="42" t="str">
        <x:v>watchlist</x:v>
      </x:c>
      <x:c r="E55" s="42" t="str">
        <x:v>Reported</x:v>
      </x:c>
      <x:c r="F55" s="42" t="str">
        <x:v>Ozon</x:v>
      </x:c>
      <x:c r="G55" s="42" t="str">
        <x:v>Not applicable</x:v>
      </x:c>
      <x:c r="H55" s="42" t="str">
        <x:v>Not applicable</x:v>
      </x:c>
      <x:c r="I55" s="42" t="str">
        <x:v>Financials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Not applicable</x:v>
      </x:c>
      <x:c r="P55" s="42" t="str">
        <x:v>Not disclosed</x:v>
      </x:c>
      <x:c r="Q55" s="42" t="str">
        <x:v>Equity issuance</x:v>
      </x:c>
      <x:c r="R55" s="42" t="str">
        <x:v>Not disclosed</x:v>
      </x:c>
      <x:c r="S55" s="42" t="str">
        <x:v>Not disclosed</x:v>
      </x:c>
      <x:c r="T55" s="46"/>
      <x:c r="U55" s="42" t="str">
        <x:v>Not disclosed</x:v>
      </x:c>
      <x:c r="V55" s="46"/>
      <x:c r="W55" s="44"/>
      <x:c r="X55" s="42" t="str">
        <x:v>Not disclosed</x:v>
      </x:c>
      <x:c r="Y55" s="42"/>
      <x:c r="Z55" s="42"/>
      <x:c r="AA55" s="46"/>
      <x:c r="AB55" s="42" t="str">
        <x:v>Not disclosed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15</x:v>
      </x:c>
      <x:c r="AP55" s="42" t="str">
        <x:v>unverified</x:v>
      </x:c>
      <x:c r="AQ55" s="42" t="n">
        <x:v>2</x:v>
      </x:c>
      <x:c r="AR55" s="42" t="str">
        <x:v>Альфа-Банк</x:v>
      </x:c>
      <x:c r="AS55" s="42" t="str">
        <x:v>https://alfabank.ru/alfa-investor/posts/t/1238104e-fa34-f111-91c8-0050569ebac3/</x:v>
      </x:c>
      <x:c r="AT55" s="42" t="str">
        <x:v>Мы держим Ozon в портфеле роста, но не в дивидендном Хотя - Альфа-Банк</x:v>
      </x:c>
    </x:row>
    <x:row r="56">
      <x:c r="A56" s="42" t="str">
        <x:v>DL-1363a495ec14164a</x:v>
      </x:c>
      <x:c r="B56" s="44" t="n">
        <x:v>46115</x:v>
      </x:c>
      <x:c r="C56" s="42" t="str">
        <x:v>DCM</x:v>
      </x:c>
      <x:c r="D56" s="42" t="str">
        <x:v>watchlist</x:v>
      </x:c>
      <x:c r="E56" s="42" t="str">
        <x:v>Announced</x:v>
      </x:c>
      <x:c r="F56" s="42" t="str">
        <x:v>Ozon</x:v>
      </x:c>
      <x:c r="G56" s="42" t="str">
        <x:v>Not applicable</x:v>
      </x:c>
      <x:c r="H56" s="42" t="str">
        <x:v>Not applicable</x:v>
      </x:c>
      <x:c r="I56" s="42" t="str">
        <x:v>Not classified</x:v>
      </x:c>
      <x:c r="J56" s="42" t="str">
        <x:v>Russia</x:v>
      </x:c>
      <x:c r="K56" s="45" t="n">
        <x:v>15000000000</x:v>
      </x:c>
      <x:c r="L56" s="45"/>
      <x:c r="M56" s="42" t="str">
        <x:v>RUB</x:v>
      </x:c>
      <x:c r="N56" s="46"/>
      <x:c r="O56" s="42" t="str">
        <x:v>Not applicable</x:v>
      </x:c>
      <x:c r="P56" s="42" t="str">
        <x:v>Not disclosed</x:v>
      </x:c>
      <x:c r="Q56" s="42" t="str">
        <x:v>Bonds</x:v>
      </x:c>
      <x:c r="R56" s="42" t="str">
        <x:v>Not disclosed</x:v>
      </x:c>
      <x:c r="S56" s="42" t="str">
        <x:v>Not disclosed</x:v>
      </x:c>
      <x:c r="T56" s="46"/>
      <x:c r="U56" s="42" t="str">
        <x:v>Not disclosed</x:v>
      </x:c>
      <x:c r="V56" s="46"/>
      <x:c r="W56" s="44"/>
      <x:c r="X56" s="42" t="str">
        <x:v>Not disclosed</x:v>
      </x:c>
      <x:c r="Y56" s="42"/>
      <x:c r="Z56" s="42"/>
      <x:c r="AA56" s="46"/>
      <x:c r="AB56" s="42" t="str">
        <x:v>Not applicable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review</x:v>
      </x:c>
      <x:c r="AO56" s="42" t="n">
        <x:v>75</x:v>
      </x:c>
      <x:c r="AP56" s="42" t="str">
        <x:v>unverified</x:v>
      </x:c>
      <x:c r="AQ56" s="42" t="n">
        <x:v>2</x:v>
      </x:c>
      <x:c r="AR56" s="42" t="str">
        <x:v>https://expert.ru</x:v>
      </x:c>
      <x:c r="AS56" s="42" t="str">
        <x:v>https://expert.ru/news/ozon-anonsiroval-razmeshchenie-obligatsiy-na-15-mlrd-rubley</x:v>
      </x:c>
      <x:c r="AT56" s="42" t="str">
        <x:v>Ozon анонсировал размещение облигаций на 15 млрд рублей - https://expert.ru</x:v>
      </x:c>
    </x:row>
    <x:row r="57">
      <x:c r="A57" s="42" t="str">
        <x:v>DL-12855c6275c496fe</x:v>
      </x:c>
      <x:c r="B57" s="44" t="n">
        <x:v>46115</x:v>
      </x:c>
      <x:c r="C57" s="42" t="str">
        <x:v>DCM</x:v>
      </x:c>
      <x:c r="D57" s="42" t="str">
        <x:v>watchlist</x:v>
      </x:c>
      <x:c r="E57" s="42" t="str">
        <x:v>Announced</x:v>
      </x:c>
      <x:c r="F57" s="42" t="str">
        <x:v>Ozon</x:v>
      </x:c>
      <x:c r="G57" s="42" t="str">
        <x:v>Not applicable</x:v>
      </x:c>
      <x:c r="H57" s="42" t="str">
        <x:v>Not applicable</x:v>
      </x:c>
      <x:c r="I57" s="42" t="str">
        <x:v>Not classified</x:v>
      </x:c>
      <x:c r="J57" s="42" t="str">
        <x:v>Not disclosed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Bonds</x:v>
      </x:c>
      <x:c r="R57" s="42" t="str">
        <x:v>Not disclosed</x:v>
      </x:c>
      <x:c r="S57" s="42" t="str">
        <x:v>Not disclosed</x:v>
      </x:c>
      <x:c r="T57" s="46"/>
      <x:c r="U57" s="42" t="str">
        <x:v>Not disclosed</x:v>
      </x:c>
      <x:c r="V57" s="46"/>
      <x:c r="W57" s="44"/>
      <x:c r="X57" s="42" t="str">
        <x:v>Not disclosed</x:v>
      </x:c>
      <x:c r="Y57" s="42"/>
      <x:c r="Z57" s="42"/>
      <x:c r="AA57" s="46"/>
      <x:c r="AB57" s="42" t="str">
        <x:v>Not applicable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review</x:v>
      </x:c>
      <x:c r="AO57" s="42" t="n">
        <x:v>75</x:v>
      </x:c>
      <x:c r="AP57" s="42" t="str">
        <x:v>unverified</x:v>
      </x:c>
      <x:c r="AQ57" s="42" t="n">
        <x:v>2</x:v>
      </x:c>
      <x:c r="AR57" s="42" t="str">
        <x:v>БКС Экспресс</x:v>
      </x:c>
      <x:c r="AS57" s="42" t="str">
        <x:v>https://bcs-express.ru/novosti-i-analitika/ozon-planiruet-debiutnoe-razmeshchenie-birzhevykh-obligatsii</x:v>
      </x:c>
      <x:c r="AT57" s="42" t="str">
        <x:v>Озон планирует дебютное размещение биржевых облигаций - БКС Экспресс</x:v>
      </x:c>
    </x:row>
    <x:row r="58">
      <x:c r="A58" s="42" t="str">
        <x:v>DL-d39c99c4c2dfa45c</x:v>
      </x:c>
      <x:c r="B58" s="44" t="n">
        <x:v>46111</x:v>
      </x:c>
      <x:c r="C58" s="42" t="str">
        <x:v>DCM</x:v>
      </x:c>
      <x:c r="D58" s="42" t="str">
        <x:v>watchlist</x:v>
      </x:c>
      <x:c r="E58" s="42" t="str">
        <x:v>Reported</x:v>
      </x:c>
      <x:c r="F58" s="42" t="str">
        <x:v>VK</x:v>
      </x:c>
      <x:c r="G58" s="42" t="str">
        <x:v>Not applicable</x:v>
      </x:c>
      <x:c r="H58" s="42" t="str">
        <x:v>Not applicable</x:v>
      </x:c>
      <x:c r="I58" s="42" t="str">
        <x:v>Not classified</x:v>
      </x:c>
      <x:c r="J58" s="42" t="str">
        <x:v>Russia</x:v>
      </x:c>
      <x:c r="K58" s="45" t="n">
        <x:v>10000000000</x:v>
      </x:c>
      <x:c r="L58" s="45"/>
      <x:c r="M58" s="42" t="str">
        <x:v>RUB</x:v>
      </x:c>
      <x:c r="N58" s="46"/>
      <x:c r="O58" s="42" t="str">
        <x:v>Not applicable</x:v>
      </x:c>
      <x:c r="P58" s="42" t="str">
        <x:v>Not disclosed</x:v>
      </x:c>
      <x:c r="Q58" s="42" t="str">
        <x:v>Bonds</x:v>
      </x:c>
      <x:c r="R58" s="42" t="str">
        <x:v>Not disclosed</x:v>
      </x:c>
      <x:c r="S58" s="42" t="str">
        <x:v>Not disclosed</x:v>
      </x:c>
      <x:c r="T58" s="46"/>
      <x:c r="U58" s="42" t="str">
        <x:v>Not disclosed</x:v>
      </x:c>
      <x:c r="V58" s="46"/>
      <x:c r="W58" s="44"/>
      <x:c r="X58" s="42" t="str">
        <x:v>Not disclosed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review</x:v>
      </x:c>
      <x:c r="AO58" s="42" t="n">
        <x:v>75</x:v>
      </x:c>
      <x:c r="AP58" s="42" t="str">
        <x:v>unverified</x:v>
      </x:c>
      <x:c r="AQ58" s="42" t="n">
        <x:v>1</x:v>
      </x:c>
      <x:c r="AR58" s="42" t="str">
        <x:v>vk.company</x:v>
      </x:c>
      <x:c r="AS58" s="42" t="str">
        <x:v>https://vk.company/investors/info/12271/</x:v>
      </x:c>
      <x:c r="AT58" s="42" t="str">
        <x:v>VK объявляет о планах по размещению биржевых облигаций объемом 10 млрд рублей - vk.company</x:v>
      </x:c>
    </x:row>
    <x:row r="59">
      <x:c r="A59" s="42" t="str">
        <x:v>DL-b9babb23f2c4462c</x:v>
      </x:c>
      <x:c r="B59" s="44" t="n">
        <x:v>46111</x:v>
      </x:c>
      <x:c r="C59" s="42" t="str">
        <x:v>DCM</x:v>
      </x:c>
      <x:c r="D59" s="42" t="str">
        <x:v>watchlist</x:v>
      </x:c>
      <x:c r="E59" s="42" t="str">
        <x:v>Reported</x:v>
      </x:c>
      <x:c r="F59" s="42" t="str">
        <x:v>VK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Not disclosed</x:v>
      </x:c>
      <x:c r="K59" s="45"/>
      <x:c r="L59" s="45"/>
      <x:c r="M59" s="42" t="str">
        <x:v>Not disclosed</x:v>
      </x:c>
      <x:c r="N59" s="46"/>
      <x:c r="O59" s="42" t="str">
        <x:v>Not applicable</x:v>
      </x:c>
      <x:c r="P59" s="42" t="str">
        <x:v>Not disclosed</x:v>
      </x:c>
      <x:c r="Q59" s="42" t="str">
        <x:v>Bonds</x:v>
      </x:c>
      <x:c r="R59" s="42" t="str">
        <x:v>Not disclosed</x:v>
      </x:c>
      <x:c r="S59" s="42" t="str">
        <x:v>Not disclosed</x:v>
      </x:c>
      <x:c r="T59" s="46"/>
      <x:c r="U59" s="42" t="str">
        <x:v>Not disclosed</x:v>
      </x:c>
      <x:c r="V59" s="46"/>
      <x:c r="W59" s="44"/>
      <x:c r="X59" s="42" t="str">
        <x:v>Not disclosed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review</x:v>
      </x:c>
      <x:c r="AO59" s="42" t="n">
        <x:v>75</x:v>
      </x:c>
      <x:c r="AP59" s="42" t="str">
        <x:v>unverified</x:v>
      </x:c>
      <x:c r="AQ59" s="42" t="n">
        <x:v>1</x:v>
      </x:c>
      <x:c r="AR59" s="42" t="str">
        <x:v>Финам</x:v>
      </x:c>
      <x:c r="AS59" s="42" t="str">
        <x:v>https://www.finam.ru/publications/item/vk-razmeshchaet-obligatsii-kak-eto-otrazitsya-na-investorakh-v-aktsii-20260330-1740/</x:v>
      </x:c>
      <x:c r="AT59" s="42" t="str">
        <x:v>VK размещает облигации: как это отразится на инвесторах в акции 30.03.2026 - Финам</x:v>
      </x:c>
    </x:row>
    <x:row r="60">
      <x:c r="A60" s="42" t="str">
        <x:v>DL-238a83afad61e805</x:v>
      </x:c>
      <x:c r="B60" s="44" t="n">
        <x:v>46080</x:v>
      </x:c>
      <x:c r="C60" s="42" t="str">
        <x:v>DCM</x:v>
      </x:c>
      <x:c r="D60" s="42" t="str">
        <x:v>deal</x:v>
      </x:c>
      <x:c r="E60" s="42" t="str">
        <x:v>Issued</x:v>
      </x:c>
      <x:c r="F60" s="42" t="str">
        <x:v>SELECTEL</x:v>
      </x:c>
      <x:c r="G60" s="42" t="str">
        <x:v>Not applicable</x:v>
      </x:c>
      <x:c r="H60" s="42" t="str">
        <x:v>Not applicable</x:v>
      </x:c>
      <x:c r="I60" s="42" t="str">
        <x:v>Not classified</x:v>
      </x:c>
      <x:c r="J60" s="42" t="str">
        <x:v>Russia</x:v>
      </x:c>
      <x:c r="K60" s="45" t="n">
        <x:v>7000000000</x:v>
      </x:c>
      <x:c r="L60" s="45"/>
      <x:c r="M60" s="42" t="str">
        <x:v>RUB</x:v>
      </x:c>
      <x:c r="N60" s="46"/>
      <x:c r="O60" s="42" t="str">
        <x:v>Not applicable</x:v>
      </x:c>
      <x:c r="P60" s="42" t="str">
        <x:v>Not disclosed</x:v>
      </x:c>
      <x:c r="Q60" s="42" t="str">
        <x:v>Bonds</x:v>
      </x:c>
      <x:c r="R60" s="42" t="str">
        <x:v>Not disclosed</x:v>
      </x:c>
      <x:c r="S60" s="42" t="str">
        <x:v>Not disclosed</x:v>
      </x:c>
      <x:c r="T60" s="46" t="n">
        <x:v>0.15</x:v>
      </x:c>
      <x:c r="U60" s="42" t="str">
        <x:v>Not disclosed</x:v>
      </x:c>
      <x:c r="V60" s="46"/>
      <x:c r="W60" s="44"/>
      <x:c r="X60" s="42" t="str">
        <x:v>Not disclosed</x:v>
      </x:c>
      <x:c r="Y60" s="42"/>
      <x:c r="Z60" s="42"/>
      <x:c r="AA60" s="46"/>
      <x:c r="AB60" s="42" t="str">
        <x:v>Not applicable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approved</x:v>
      </x:c>
      <x:c r="AO60" s="42" t="n">
        <x:v>100</x:v>
      </x:c>
      <x:c r="AP60" s="42" t="str">
        <x:v>confirmed</x:v>
      </x:c>
      <x:c r="AQ60" s="42" t="n">
        <x:v>1</x:v>
      </x:c>
      <x:c r="AR60" s="42" t="str">
        <x:v>Selectel Newsroom</x:v>
      </x:c>
      <x:c r="AS60" s="42" t="str">
        <x:v>https://selectel.ru/about/newsroom/news/selectel-razmestil-novyj-vypusk-obligaczij-i-privlek-7-milliardov-rublej-na-razvitie-biznesa/</x:v>
      </x:c>
      <x:c r="AT60" s="42" t="str">
        <x:v>Selectel разместил новый выпуск облигаций и привлек 7 миллиардов рублей на развитие бизнеса</x:v>
      </x:c>
    </x:row>
    <x:row r="61">
      <x:c r="A61" s="42" t="str">
        <x:v>DL-251bf0d0b7b600c1</x:v>
      </x:c>
      <x:c r="B61" s="44" t="n">
        <x:v>45642</x:v>
      </x:c>
      <x:c r="C61" s="42" t="str">
        <x:v>M&amp;A</x:v>
      </x:c>
      <x:c r="D61" s="42" t="str">
        <x:v>deal</x:v>
      </x:c>
      <x:c r="E61" s="42" t="str">
        <x:v>Confirmed</x:v>
      </x:c>
      <x:c r="F61" s="42" t="str">
        <x:v>Not disclosed</x:v>
      </x:c>
      <x:c r="G61" s="42" t="str">
        <x:v>Not disclosed</x:v>
      </x:c>
      <x:c r="H61" s="42" t="str">
        <x:v>Not disclosed</x:v>
      </x:c>
      <x:c r="I61" s="42" t="str">
        <x:v>Technology</x:v>
      </x:c>
      <x:c r="J61" s="42" t="str">
        <x:v>Not disclosed</x:v>
      </x:c>
      <x:c r="K61" s="45"/>
      <x:c r="L61" s="45"/>
      <x:c r="M61" s="42" t="str">
        <x:v>Not disclosed</x:v>
      </x:c>
      <x:c r="N61" s="46"/>
      <x:c r="O61" s="42" t="str">
        <x:v>Not disclosed</x:v>
      </x:c>
      <x:c r="P61" s="42" t="str">
        <x:v>Not disclosed</x:v>
      </x:c>
      <x:c r="Q61" s="42" t="str">
        <x:v>Acquisition / disposal</x:v>
      </x:c>
      <x:c r="R61" s="42" t="str">
        <x:v>Not disclosed</x:v>
      </x:c>
      <x:c r="S61" s="42" t="str">
        <x:v>Not disclosed</x:v>
      </x:c>
      <x:c r="T61" s="46"/>
      <x:c r="U61" s="42" t="str">
        <x:v>Not disclosed</x:v>
      </x:c>
      <x:c r="V61" s="46"/>
      <x:c r="W61" s="44"/>
      <x:c r="X61" s="42" t="str">
        <x:v>Not disclosed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review</x:v>
      </x:c>
      <x:c r="AO61" s="42" t="n">
        <x:v>65</x:v>
      </x:c>
      <x:c r="AP61" s="42" t="str">
        <x:v>confirmed</x:v>
      </x:c>
      <x:c r="AQ61" s="42" t="n">
        <x:v>1</x:v>
      </x:c>
      <x:c r="AR61" s="42" t="str">
        <x:v>Selectel Newsroom</x:v>
      </x:c>
      <x:c r="AS61" s="42" t="str">
        <x:v>https://selectel.ru/about/newsroom/news/selectel-soobshchaet-o-priobretenii-oblachnogo-provajdera-servers-ru/</x:v>
      </x:c>
      <x:c r="AT61" s="42" t="str">
        <x:v>Selectel сообщает о приобретении облачного провайдера Servers.ru</x:v>
      </x:c>
    </x:row>
    <x:row r="62">
      <x:c r="A62" s="42" t="str">
        <x:v>DL-aa5a93661389a659</x:v>
      </x:c>
      <x:c r="B62" s="44" t="n">
        <x:v>45611</x:v>
      </x:c>
      <x:c r="C62" s="42" t="str">
        <x:v>DCM</x:v>
      </x:c>
      <x:c r="D62" s="42" t="str">
        <x:v>deal</x:v>
      </x:c>
      <x:c r="E62" s="42" t="str">
        <x:v>Announced</x:v>
      </x:c>
      <x:c r="F62" s="42" t="str">
        <x:v>SELECTEL</x:v>
      </x:c>
      <x:c r="G62" s="42" t="str">
        <x:v>Not applicable</x:v>
      </x:c>
      <x:c r="H62" s="42" t="str">
        <x:v>Not applicable</x:v>
      </x:c>
      <x:c r="I62" s="42" t="str">
        <x:v>Financials</x:v>
      </x:c>
      <x:c r="J62" s="42" t="str">
        <x:v>Russia</x:v>
      </x:c>
      <x:c r="K62" s="45" t="n">
        <x:v>3000000000</x:v>
      </x:c>
      <x:c r="L62" s="45"/>
      <x:c r="M62" s="42" t="str">
        <x:v>RUB</x:v>
      </x:c>
      <x:c r="N62" s="46"/>
      <x:c r="O62" s="42" t="str">
        <x:v>Not applicable</x:v>
      </x:c>
      <x:c r="P62" s="42" t="str">
        <x:v>Not disclosed</x:v>
      </x:c>
      <x:c r="Q62" s="42" t="str">
        <x:v>Bonds</x:v>
      </x:c>
      <x:c r="R62" s="42" t="str">
        <x:v>Not disclosed</x:v>
      </x:c>
      <x:c r="S62" s="42" t="str">
        <x:v>Not disclosed</x:v>
      </x:c>
      <x:c r="T62" s="46"/>
      <x:c r="U62" s="42" t="str">
        <x:v>Floating</x:v>
      </x:c>
      <x:c r="V62" s="46"/>
      <x:c r="W62" s="44"/>
      <x:c r="X62" s="42" t="str">
        <x:v>2.5 года</x:v>
      </x:c>
      <x:c r="Y62" s="42"/>
      <x:c r="Z62" s="42"/>
      <x:c r="AA62" s="46"/>
      <x:c r="AB62" s="42" t="str">
        <x:v>Not applicable</x:v>
      </x:c>
      <x:c r="AC62" s="46"/>
      <x:c r="AD62" s="42" t="str">
        <x:v>финансирования инвестиционной программы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approved</x:v>
      </x:c>
      <x:c r="AO62" s="42" t="n">
        <x:v>100</x:v>
      </x:c>
      <x:c r="AP62" s="42" t="str">
        <x:v>confirmed</x:v>
      </x:c>
      <x:c r="AQ62" s="42" t="n">
        <x:v>1</x:v>
      </x:c>
      <x:c r="AR62" s="42" t="str">
        <x:v>Selectel Newsroom</x:v>
      </x:c>
      <x:c r="AS62" s="42" t="str">
        <x:v>https://selectel.ru/about/newsroom/news/selectel-planiruet-razmeshhenie-obligaczij-obemom-3-milliarda-rublej-2/</x:v>
      </x:c>
      <x:c r="AT62" s="42" t="str">
        <x:v>Selectel планирует размещение облигаций объемом 3 миллиарда рублей</x:v>
      </x:c>
    </x:row>
    <x:row r="63">
      <x:c r="A63" s="42" t="str">
        <x:v>DL-c898acc93d60813b</x:v>
      </x:c>
      <x:c r="B63" s="44" t="n">
        <x:v>45391</x:v>
      </x:c>
      <x:c r="C63" s="42" t="str">
        <x:v>DCM</x:v>
      </x:c>
      <x:c r="D63" s="42" t="str">
        <x:v>deal</x:v>
      </x:c>
      <x:c r="E63" s="42" t="str">
        <x:v>Confirmed</x:v>
      </x:c>
      <x:c r="F63" s="42" t="str">
        <x:v>SELECTEL</x:v>
      </x:c>
      <x:c r="G63" s="42" t="str">
        <x:v>Not applicable</x:v>
      </x:c>
      <x:c r="H63" s="42" t="str">
        <x:v>Not applicable</x:v>
      </x:c>
      <x:c r="I63" s="42" t="str">
        <x:v>Not classified</x:v>
      </x:c>
      <x:c r="J63" s="42" t="str">
        <x:v>Russia</x:v>
      </x:c>
      <x:c r="K63" s="45" t="n">
        <x:v>4000000000</x:v>
      </x:c>
      <x:c r="L63" s="45"/>
      <x:c r="M63" s="42" t="str">
        <x:v>RUB</x:v>
      </x:c>
      <x:c r="N63" s="46"/>
      <x:c r="O63" s="42" t="str">
        <x:v>Not applicable</x:v>
      </x:c>
      <x:c r="P63" s="42" t="str">
        <x:v>Not disclosed</x:v>
      </x:c>
      <x:c r="Q63" s="42" t="str">
        <x:v>Bonds</x:v>
      </x:c>
      <x:c r="R63" s="42" t="str">
        <x:v>Not disclosed</x:v>
      </x:c>
      <x:c r="S63" s="42" t="str">
        <x:v>Not disclosed</x:v>
      </x:c>
      <x:c r="T63" s="46" t="n">
        <x:v>0.15</x:v>
      </x:c>
      <x:c r="U63" s="42" t="str">
        <x:v>Not disclosed</x:v>
      </x:c>
      <x:c r="V63" s="46"/>
      <x:c r="W63" s="44"/>
      <x:c r="X63" s="42" t="str">
        <x:v>2 года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approved</x:v>
      </x:c>
      <x:c r="AO63" s="42" t="n">
        <x:v>100</x:v>
      </x:c>
      <x:c r="AP63" s="42" t="str">
        <x:v>confirmed</x:v>
      </x:c>
      <x:c r="AQ63" s="42" t="n">
        <x:v>1</x:v>
      </x:c>
      <x:c r="AR63" s="42" t="str">
        <x:v>Selectel Newsroom</x:v>
      </x:c>
      <x:c r="AS63" s="42" t="str">
        <x:v>https://selectel.ru/about/newsroom/news/selectel-na-fone-povyshennogo-sprosa-na-obligaczii-chetvertogo-vypuska-uvelichil-obem-razmeshheniya-do-4-mlrd-rublej/</x:v>
      </x:c>
      <x:c r="AT63" s="42" t="str">
        <x:v>Selectel на фоне повышенного спроса на облигации четвертого выпуска увеличил объем размещения до 4 млрд рублей</x:v>
      </x:c>
    </x:row>
    <x:row r="64">
      <x:c r="A64" s="42" t="str">
        <x:v>DL-3b4a4419ab6b81bf</x:v>
      </x:c>
      <x:c r="B64" s="44" t="n">
        <x:v>45357</x:v>
      </x:c>
      <x:c r="C64" s="42" t="str">
        <x:v>DCM</x:v>
      </x:c>
      <x:c r="D64" s="42" t="str">
        <x:v>deal</x:v>
      </x:c>
      <x:c r="E64" s="42" t="str">
        <x:v>Announced</x:v>
      </x:c>
      <x:c r="F64" s="42" t="str">
        <x:v>SELECTEL</x:v>
      </x:c>
      <x:c r="G64" s="42" t="str">
        <x:v>Not applicable</x:v>
      </x:c>
      <x:c r="H64" s="42" t="str">
        <x:v>Not applicable</x:v>
      </x:c>
      <x:c r="I64" s="42" t="str">
        <x:v>Not classified</x:v>
      </x:c>
      <x:c r="J64" s="42" t="str">
        <x:v>Russia</x:v>
      </x:c>
      <x:c r="K64" s="45" t="n">
        <x:v>3000000000</x:v>
      </x:c>
      <x:c r="L64" s="45"/>
      <x:c r="M64" s="42" t="str">
        <x:v>RUB</x:v>
      </x:c>
      <x:c r="N64" s="46"/>
      <x:c r="O64" s="42" t="str">
        <x:v>Not applicable</x:v>
      </x:c>
      <x:c r="P64" s="42" t="str">
        <x:v>Not disclosed</x:v>
      </x:c>
      <x:c r="Q64" s="42" t="str">
        <x:v>Bonds</x:v>
      </x:c>
      <x:c r="R64" s="42" t="str">
        <x:v>Not disclosed</x:v>
      </x:c>
      <x:c r="S64" s="42" t="str">
        <x:v>Not disclosed</x:v>
      </x:c>
      <x:c r="T64" s="46"/>
      <x:c r="U64" s="42" t="str">
        <x:v>Not disclosed</x:v>
      </x:c>
      <x:c r="V64" s="46"/>
      <x:c r="W64" s="44"/>
      <x:c r="X64" s="42" t="str">
        <x:v>Not disclosed</x:v>
      </x:c>
      <x:c r="Y64" s="42"/>
      <x:c r="Z64" s="42"/>
      <x:c r="AA64" s="46"/>
      <x:c r="AB64" s="42" t="str">
        <x:v>Not applicable</x:v>
      </x:c>
      <x:c r="AC64" s="46"/>
      <x:c r="AD64" s="42" t="str">
        <x:v>Not disclosed</x:v>
      </x:c>
      <x:c r="AE64" s="45"/>
      <x:c r="AF64" s="45"/>
      <x:c r="AG64" s="44"/>
      <x:c r="AH64" s="42" t="str">
        <x:v>Not disclosed</x:v>
      </x:c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approved</x:v>
      </x:c>
      <x:c r="AO64" s="42" t="n">
        <x:v>100</x:v>
      </x:c>
      <x:c r="AP64" s="42" t="str">
        <x:v>confirmed</x:v>
      </x:c>
      <x:c r="AQ64" s="42" t="n">
        <x:v>1</x:v>
      </x:c>
      <x:c r="AR64" s="42" t="str">
        <x:v>Selectel Newsroom</x:v>
      </x:c>
      <x:c r="AS64" s="42" t="str">
        <x:v>https://selectel.ru/about/newsroom/news/selectel-planiruet-razmeshhenie-obligaczij-obemom-3-milliarda-rublej/</x:v>
      </x:c>
      <x:c r="AT64" s="42" t="str">
        <x:v>Selectel планирует размещение облигаций объемом 3 миллиарда рублей</x:v>
      </x:c>
    </x:row>
    <x:row r="65">
      <x:c r="A65" s="42" t="str">
        <x:v>DL-0242cf80b3f97c9c</x:v>
      </x:c>
      <x:c r="B65" s="44" t="n">
        <x:v>45288</x:v>
      </x:c>
      <x:c r="C65" s="42" t="str">
        <x:v>M&amp;A</x:v>
      </x:c>
      <x:c r="D65" s="42" t="str">
        <x:v>deal</x:v>
      </x:c>
      <x:c r="E65" s="42" t="str">
        <x:v>Confirmed</x:v>
      </x:c>
      <x:c r="F65" s="42" t="str">
        <x:v>25% провайдера IT-инфраструктуры Selectel</x:v>
      </x:c>
      <x:c r="G65" s="42" t="str">
        <x:v>Инвестиционный фонд Tier 5</x:v>
      </x:c>
      <x:c r="H65" s="42" t="str">
        <x:v>Not disclosed</x:v>
      </x:c>
      <x:c r="I65" s="42" t="str">
        <x:v>Not classified</x:v>
      </x:c>
      <x:c r="J65" s="42" t="str">
        <x:v>Russia</x:v>
      </x:c>
      <x:c r="K65" s="45"/>
      <x:c r="L65" s="45"/>
      <x:c r="M65" s="42" t="str">
        <x:v>Not disclosed</x:v>
      </x:c>
      <x:c r="N65" s="46"/>
      <x:c r="O65" s="42" t="str">
        <x:v>Not disclosed</x:v>
      </x:c>
      <x:c r="P65" s="42" t="str">
        <x:v>Not disclosed</x:v>
      </x:c>
      <x:c r="Q65" s="42" t="str">
        <x:v>Acquisition / disposal</x:v>
      </x:c>
      <x:c r="R65" s="42" t="str">
        <x:v>Not disclosed</x:v>
      </x:c>
      <x:c r="S65" s="42" t="str">
        <x:v>Not disclosed</x:v>
      </x:c>
      <x:c r="T65" s="46"/>
      <x:c r="U65" s="42" t="str">
        <x:v>Not disclosed</x:v>
      </x:c>
      <x:c r="V65" s="46"/>
      <x:c r="W65" s="44"/>
      <x:c r="X65" s="42" t="str">
        <x:v>Not disclosed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review</x:v>
      </x:c>
      <x:c r="AO65" s="42" t="n">
        <x:v>40</x:v>
      </x:c>
      <x:c r="AP65" s="42" t="str">
        <x:v>confirmed</x:v>
      </x:c>
      <x:c r="AQ65" s="42" t="n">
        <x:v>1</x:v>
      </x:c>
      <x:c r="AR65" s="42" t="str">
        <x:v>Selectel Newsroom</x:v>
      </x:c>
      <x:c r="AS65" s="42" t="str">
        <x:v>https://selectel.ru/about/newsroom/news/investicionnyj-fond-tier-5-priobrel-25-provajdera-it-infrastruktury-selectel/</x:v>
      </x:c>
      <x:c r="AT65" s="42" t="str">
        <x:v>Инвестиционный фонд Tier 5 приобрел 25% провайдера IT-инфраструктуры Selectel</x:v>
      </x:c>
    </x:row>
    <x:row r="66">
      <x:c r="A66" s="42" t="str">
        <x:v>CURATED-MA-BROADCOM-VMWARE-2022</x:v>
      </x:c>
      <x:c r="B66" s="44" t="n">
        <x:v>44707</x:v>
      </x:c>
      <x:c r="C66" s="42" t="str">
        <x:v>M&amp;A</x:v>
      </x:c>
      <x:c r="D66" s="42" t="str">
        <x:v>deal</x:v>
      </x:c>
      <x:c r="E66" s="42" t="str">
        <x:v>Closed</x:v>
      </x:c>
      <x:c r="F66" s="42" t="str">
        <x:v>VMware</x:v>
      </x:c>
      <x:c r="G66" s="42" t="str">
        <x:v>Broadcom</x:v>
      </x:c>
      <x:c r="H66" s="42" t="str">
        <x:v>Public shareholders</x:v>
      </x:c>
      <x:c r="I66" s="42" t="str">
        <x:v>Technology</x:v>
      </x:c>
      <x:c r="J66" s="42" t="str">
        <x:v>United States</x:v>
      </x:c>
      <x:c r="K66" s="45" t="n">
        <x:v>61000000000</x:v>
      </x:c>
      <x:c r="L66" s="45" t="n">
        <x:v>69000000000</x:v>
      </x:c>
      <x:c r="M66" s="42" t="str">
        <x:v>USD</x:v>
      </x:c>
      <x:c r="N66" s="46" t="n">
        <x:v>1</x:v>
      </x:c>
      <x:c r="O66" s="42" t="str">
        <x:v>Cash and shares</x:v>
      </x:c>
      <x:c r="P66" s="42" t="str">
        <x:v>Barclays, Morgan Stanley, Citi, Goldman Sachs, J.P. Morgan, BofA Securities</x:v>
      </x:c>
      <x:c r="Q66" s="42" t="str">
        <x:v>Acquisition / disposal</x:v>
      </x:c>
      <x:c r="R66" s="42" t="str">
        <x:v>Not disclosed</x:v>
      </x:c>
      <x:c r="S66" s="42" t="str">
        <x:v>Not disclosed</x:v>
      </x:c>
      <x:c r="T66" s="46"/>
      <x:c r="U66" s="42" t="str">
        <x:v>Not disclosed</x:v>
      </x:c>
      <x:c r="V66" s="46"/>
      <x:c r="W66" s="44"/>
      <x:c r="X66" s="42" t="str">
        <x:v>Not disclosed</x:v>
      </x:c>
      <x:c r="Y66" s="42"/>
      <x:c r="Z66" s="42"/>
      <x:c r="AA66" s="46"/>
      <x:c r="AB66" s="42" t="str">
        <x:v>Not applicable</x:v>
      </x:c>
      <x:c r="AC66" s="46"/>
      <x:c r="AD66" s="42" t="str">
        <x:v>Scale Broadcom's infrastructure software business and expand enterprise software exposure</x:v>
      </x:c>
      <x:c r="AE66" s="45" t="n">
        <x:v>12851000000</x:v>
      </x:c>
      <x:c r="AF66" s="45" t="n">
        <x:v>2966000000</x:v>
      </x:c>
      <x:c r="AG66" s="44" t="n">
        <x:v>44589</x:v>
      </x:c>
      <x:c r="AH66" s="42" t="str">
        <x:v>USD</x:v>
      </x:c>
      <x:c r="AI66" s="47" t="n">
        <x:v>5.369231966383939</x:v>
      </x:c>
      <x:c r="AJ66" s="47" t="n">
        <x:v>23.263654753877276</x:v>
      </x:c>
      <x:c r="AK66" s="42" t="str">
        <x:v>VMware FY2022 Form 10-K</x:v>
      </x:c>
      <x:c r="AL66" s="42" t="str">
        <x:v>GAAP EBITDA calculated as operating income plus depreciation and definite-lived intangible amortization</x:v>
      </x:c>
      <x:c r="AM66" s="42" t="str">
        <x:v>Calculated from disclosed EV and latest audited financials available at announcement</x:v>
      </x:c>
      <x:c r="AN66" s="42" t="str">
        <x:v>approved</x:v>
      </x:c>
      <x:c r="AO66" s="42" t="n">
        <x:v>100</x:v>
      </x:c>
      <x:c r="AP66" s="42" t="str">
        <x:v>confirmed</x:v>
      </x:c>
      <x:c r="AQ66" s="42" t="n">
        <x:v>3</x:v>
      </x:c>
      <x:c r="AR66" s="42" t="str">
        <x:v>Broadcom transaction announcement</x:v>
      </x:c>
      <x:c r="AS66" s="42" t="str">
        <x:v>https://investors.broadcom.com/news-releases/news-release-details/broadcom-acquire-vmware-approximately-61-billion-cash-and-stock</x:v>
      </x:c>
      <x:c r="AT66" s="42" t="str">
        <x:v>Broadcom acquired VMware in a cash-and-stock transaction</x:v>
      </x:c>
    </x:row>
    <x:row r="67">
      <x:c r="A67" s="42" t="str">
        <x:v>CURATED-MA-MICROSOFT-ACTIVISION-2022</x:v>
      </x:c>
      <x:c r="B67" s="44" t="n">
        <x:v>44579</x:v>
      </x:c>
      <x:c r="C67" s="42" t="str">
        <x:v>M&amp;A</x:v>
      </x:c>
      <x:c r="D67" s="42" t="str">
        <x:v>deal</x:v>
      </x:c>
      <x:c r="E67" s="42" t="str">
        <x:v>Closed</x:v>
      </x:c>
      <x:c r="F67" s="42" t="str">
        <x:v>Activision Blizzard</x:v>
      </x:c>
      <x:c r="G67" s="42" t="str">
        <x:v>Microsoft</x:v>
      </x:c>
      <x:c r="H67" s="42" t="str">
        <x:v>Public shareholders</x:v>
      </x:c>
      <x:c r="I67" s="42" t="str">
        <x:v>Technology</x:v>
      </x:c>
      <x:c r="J67" s="42" t="str">
        <x:v>United States</x:v>
      </x:c>
      <x:c r="K67" s="45" t="n">
        <x:v>68700000000</x:v>
      </x:c>
      <x:c r="L67" s="45" t="n">
        <x:v>68700000000</x:v>
      </x:c>
      <x:c r="M67" s="42" t="str">
        <x:v>USD</x:v>
      </x:c>
      <x:c r="N67" s="46" t="n">
        <x:v>1</x:v>
      </x:c>
      <x:c r="O67" s="42" t="str">
        <x:v>Cash</x:v>
      </x:c>
      <x:c r="P67" s="42" t="str">
        <x:v>Goldman Sachs, Allen &amp; Company, Simpson Thacher, Skadden</x:v>
      </x:c>
      <x:c r="Q67" s="42" t="str">
        <x:v>Acquisition / disposal</x:v>
      </x:c>
      <x:c r="R67" s="42" t="str">
        <x:v>Not disclosed</x:v>
      </x:c>
      <x:c r="S67" s="42" t="str">
        <x:v>Not disclosed</x:v>
      </x:c>
      <x:c r="T67" s="46"/>
      <x:c r="U67" s="42" t="str">
        <x:v>Not disclosed</x:v>
      </x:c>
      <x:c r="V67" s="46"/>
      <x:c r="W67" s="44"/>
      <x:c r="X67" s="42" t="str">
        <x:v>Not disclosed</x:v>
      </x:c>
      <x:c r="Y67" s="42"/>
      <x:c r="Z67" s="42"/>
      <x:c r="AA67" s="46"/>
      <x:c r="AB67" s="42" t="str">
        <x:v>Not applicable</x:v>
      </x:c>
      <x:c r="AC67" s="46"/>
      <x:c r="AD67" s="42" t="str">
        <x:v>Expand Microsoft Gaming across mobile, PC, console and cloud</x:v>
      </x:c>
      <x:c r="AE67" s="45" t="n">
        <x:v>8803000000</x:v>
      </x:c>
      <x:c r="AF67" s="45" t="n">
        <x:v>3699000000</x:v>
      </x:c>
      <x:c r="AG67" s="44" t="n">
        <x:v>44561</x:v>
      </x:c>
      <x:c r="AH67" s="42" t="str">
        <x:v>USD</x:v>
      </x:c>
      <x:c r="AI67" s="47" t="n">
        <x:v>7.804157673520391</x:v>
      </x:c>
      <x:c r="AJ67" s="47" t="n">
        <x:v>18.572587185725872</x:v>
      </x:c>
      <x:c r="AK67" s="42" t="str">
        <x:v>Activision Blizzard 2022 Form 10-K comparative FY2021 data</x:v>
      </x:c>
      <x:c r="AL67" s="42" t="str">
        <x:v>GAAP EBITDA calculated as operating income plus depreciation/amortization and capitalized software amortization</x:v>
      </x:c>
      <x:c r="AM67" s="42" t="str">
        <x:v>Calculated from disclosed EV and audited financials; report became available after announcement</x:v>
      </x:c>
      <x:c r="AN67" s="42" t="str">
        <x:v>approved</x:v>
      </x:c>
      <x:c r="AO67" s="42" t="n">
        <x:v>100</x:v>
      </x:c>
      <x:c r="AP67" s="42" t="str">
        <x:v>confirmed</x:v>
      </x:c>
      <x:c r="AQ67" s="42" t="n">
        <x:v>2</x:v>
      </x:c>
      <x:c r="AR67" s="42" t="str">
        <x:v>Microsoft transaction announcement</x:v>
      </x:c>
      <x:c r="AS67" s="42" t="str">
        <x:v>https://news.microsoft.com/source/2022/01/18/microsoft-to-acquire-activision-blizzard-to-bring-the-joy-and-community-of-gaming-to-everyone-across-every-device/</x:v>
      </x:c>
      <x:c r="AT67" s="42" t="str">
        <x:v>Microsoft acquired Activision Blizzard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7829c9f721a04f5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CURATED-MA-BROADCOM-VMWARE-2022</x:v>
      </x:c>
      <x:c r="B7" s="42" t="str">
        <x:v>VMware</x:v>
      </x:c>
      <x:c r="C7" s="44" t="n">
        <x:v>44707</x:v>
      </x:c>
      <x:c r="D7" s="44" t="n">
        <x:v>44589</x:v>
      </x:c>
      <x:c r="E7" s="44" t="n">
        <x:v>44644</x:v>
      </x:c>
      <x:c r="F7" s="42" t="str">
        <x:v>USD</x:v>
      </x:c>
      <x:c r="G7" s="45" t="n">
        <x:v>12851000000</x:v>
      </x:c>
      <x:c r="H7" s="45" t="n">
        <x:v>2387000000</x:v>
      </x:c>
      <x:c r="I7" s="45" t="n">
        <x:v>276000000</x:v>
      </x:c>
      <x:c r="J7" s="45" t="n">
        <x:v>303000000</x:v>
      </x:c>
      <x:c r="K7" s="45" t="n">
        <x:v>2966000000</x:v>
      </x:c>
      <x:c r="L7" s="49" t="str">
        <x:v>GAAP EBITDA calculated as operating income plus depreciation and definite-lived intangible amortization</x:v>
      </x:c>
      <x:c r="M7" s="49" t="str">
        <x:v>VMware FY2022 Form 10-K</x:v>
      </x:c>
      <x:c r="N7" s="49" t="str">
        <x:v>https://www.sec.gov/Archives/edgar/data/1124610/000112461022000009/vmw-20220128.htm</x:v>
      </x:c>
    </x:row>
    <x:row r="8" ht="48" customHeight="1">
      <x:c r="A8" s="42" t="str">
        <x:v>CURATED-MA-MICROSOFT-ACTIVISION-2022</x:v>
      </x:c>
      <x:c r="B8" s="42" t="str">
        <x:v>Activision Blizzard</x:v>
      </x:c>
      <x:c r="C8" s="44" t="n">
        <x:v>44579</x:v>
      </x:c>
      <x:c r="D8" s="44" t="n">
        <x:v>44561</x:v>
      </x:c>
      <x:c r="E8" s="44" t="n">
        <x:v>44617</x:v>
      </x:c>
      <x:c r="F8" s="42" t="str">
        <x:v>USD</x:v>
      </x:c>
      <x:c r="G8" s="45" t="n">
        <x:v>8803000000</x:v>
      </x:c>
      <x:c r="H8" s="45" t="n">
        <x:v>3259000000</x:v>
      </x:c>
      <x:c r="I8" s="45" t="n">
        <x:v>116000000</x:v>
      </x:c>
      <x:c r="J8" s="45" t="n">
        <x:v>324000000</x:v>
      </x:c>
      <x:c r="K8" s="45" t="n">
        <x:v>3699000000</x:v>
      </x:c>
      <x:c r="L8" s="49" t="str">
        <x:v>GAAP EBITDA calculated as operating income plus depreciation/amortization and capitalized software amortization</x:v>
      </x:c>
      <x:c r="M8" s="49" t="str">
        <x:v>Activision Blizzard 2022 Form 10-K comparative FY2021 data</x:v>
      </x:c>
      <x:c r="N8" s="49" t="str">
        <x:v>https://www.sec.gov/Archives/edgar/data/718877/000162828023004842/atvi-20221231.htm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4092c1d836a442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1" hidden="0" customWidth="1"/>
    <x:col min="12" max="12" width="32" hidden="0" customWidth="1"/>
    <x:col min="13" max="13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6" t="str">
        <x:v>Formula-driven EV / Revenue and EV / EBITDA; calculations require positive values and matching currencies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EV / Revenue</x:v>
      </x:c>
      <x:c r="J6" s="18" t="str">
        <x:v>EV / EBITDA</x:v>
      </x:c>
      <x:c r="K6" s="18" t="str">
        <x:v>Eligible</x:v>
      </x:c>
      <x:c r="L6" s="18" t="str">
        <x:v>Financial Source</x:v>
      </x:c>
      <x:c r="M6" s="19" t="str">
        <x:v>Notes</x:v>
      </x:c>
    </x:row>
    <x:row r="7">
      <x:c r="A7" s="42" t="str">
        <x:v>DL-3d3c82bb59e25b8e</x:v>
      </x:c>
      <x:c r="B7" s="44" t="n">
        <x:v>46204</x:v>
      </x:c>
      <x:c r="C7" s="42" t="str">
        <x:v>Not disclosed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7" t="str">
        <x:f>IFERROR(IF(AND($D7&gt;0,$F7&gt;0,$E7=$H7),$D7/$F7,""),"")</x:f>
      </x:c>
      <x:c r="J7" s="47" t="str">
        <x:f>IFERROR(IF(AND($D7&gt;0,$G7&gt;0,$E7=$H7),$D7/$G7,""),"")</x:f>
      </x:c>
      <x:c r="K7" s="43" t="str">
        <x:f>IF(OR($I7&gt;0,$J7&gt;0),"YES","NO")</x:f>
        <x:v>NO</x:v>
      </x:c>
      <x:c r="L7" t="str">
        <x:v>Not disclosed</x:v>
      </x:c>
      <x:c r="M7" t="str">
        <x:v>N/M: EV and aligned-currency financials are required</x:v>
      </x:c>
    </x:row>
    <x:row r="8">
      <x:c r="A8" s="42" t="str">
        <x:v>DL-3c400018ff8f7b5b</x:v>
      </x:c>
      <x:c r="B8" s="44" t="n">
        <x:v>46200</x:v>
      </x:c>
      <x:c r="C8" s="42" t="str">
        <x:v>Not disclosed</x:v>
      </x:c>
      <x:c r="D8" s="45"/>
      <x:c r="E8" s="42" t="str">
        <x:v>Not disclosed</x:v>
      </x:c>
      <x:c r="F8" s="45"/>
      <x:c r="G8" s="45"/>
      <x:c r="H8" s="42" t="str">
        <x:v>Not disclosed</x:v>
      </x:c>
      <x:c r="I8" s="47" t="str">
        <x:f>IFERROR(IF(AND($D8&gt;0,$F8&gt;0,$E8=$H8),$D8/$F8,""),"")</x:f>
      </x:c>
      <x:c r="J8" s="47" t="str">
        <x:f>IFERROR(IF(AND($D8&gt;0,$G8&gt;0,$E8=$H8),$D8/$G8,""),"")</x:f>
      </x:c>
      <x:c r="K8" s="43" t="str">
        <x:f>IF(OR($I8&gt;0,$J8&gt;0),"YES","NO")</x:f>
        <x:v>NO</x:v>
      </x:c>
      <x:c r="L8" t="str">
        <x:v>Not disclosed</x:v>
      </x:c>
      <x:c r="M8" t="str">
        <x:v>N/M: EV and aligned-currency financials are required</x:v>
      </x:c>
    </x:row>
    <x:row r="9">
      <x:c r="A9" s="42" t="str">
        <x:v>DL-c0e4b0469b5eb473</x:v>
      </x:c>
      <x:c r="B9" s="44" t="n">
        <x:v>46177</x:v>
      </x:c>
      <x:c r="C9" s="42" t="str">
        <x:v>Ozon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7" t="str">
        <x:f>IFERROR(IF(AND($D9&gt;0,$F9&gt;0,$E9=$H9),$D9/$F9,""),"")</x:f>
      </x:c>
      <x:c r="J9" s="47" t="str">
        <x:f>IFERROR(IF(AND($D9&gt;0,$G9&gt;0,$E9=$H9),$D9/$G9,""),"")</x:f>
      </x:c>
      <x:c r="K9" s="43" t="str">
        <x:f>IF(OR($I9&gt;0,$J9&gt;0),"YES","NO")</x:f>
        <x:v>NO</x:v>
      </x:c>
      <x:c r="L9" t="str">
        <x:v>Not disclosed</x:v>
      </x:c>
      <x:c r="M9" t="str">
        <x:v>N/M: EV and aligned-currency financials are required</x:v>
      </x:c>
    </x:row>
    <x:row r="10">
      <x:c r="A10" s="42" t="str">
        <x:v>DL-5eba3b27a4e84dd3</x:v>
      </x:c>
      <x:c r="B10" s="44" t="n">
        <x:v>46175</x:v>
      </x:c>
      <x:c r="C10" s="42" t="str">
        <x:v>Авто.ру</x:v>
      </x:c>
      <x:c r="D10" s="45"/>
      <x:c r="E10" s="42" t="str">
        <x:v>RUB</x:v>
      </x:c>
      <x:c r="F10" s="45"/>
      <x:c r="G10" s="45"/>
      <x:c r="H10" s="42" t="str">
        <x:v>Not disclosed</x:v>
      </x:c>
      <x:c r="I10" s="47" t="str">
        <x:f>IFERROR(IF(AND($D10&gt;0,$F10&gt;0,$E10=$H10),$D10/$F10,""),"")</x:f>
      </x:c>
      <x:c r="J10" s="47" t="str">
        <x:f>IFERROR(IF(AND($D10&gt;0,$G10&gt;0,$E10=$H10),$D10/$G10,""),"")</x:f>
      </x:c>
      <x:c r="K10" s="43" t="str">
        <x:f>IF(OR($I10&gt;0,$J10&gt;0),"YES","NO")</x:f>
        <x:v>NO</x:v>
      </x:c>
      <x:c r="L10" t="str">
        <x:v>Not disclosed</x:v>
      </x:c>
      <x:c r="M10" t="str">
        <x:v>N/M: EV and aligned-currency financials are required</x:v>
      </x:c>
    </x:row>
    <x:row r="11">
      <x:c r="A11" s="42" t="str">
        <x:v>DL-e08040bba3b952c1</x:v>
      </x:c>
      <x:c r="B11" s="44" t="n">
        <x:v>46170</x:v>
      </x:c>
      <x:c r="C11" s="42" t="str">
        <x:v>Островок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7" t="str">
        <x:f>IFERROR(IF(AND($D11&gt;0,$F11&gt;0,$E11=$H11),$D11/$F11,""),"")</x:f>
      </x:c>
      <x:c r="J11" s="47" t="str">
        <x:f>IFERROR(IF(AND($D11&gt;0,$G11&gt;0,$E11=$H11),$D11/$G11,""),"")</x:f>
      </x:c>
      <x:c r="K11" s="43" t="str">
        <x:f>IF(OR($I11&gt;0,$J11&gt;0),"YES","NO")</x:f>
        <x:v>NO</x:v>
      </x:c>
      <x:c r="L11" t="str">
        <x:v>Not disclosed</x:v>
      </x:c>
      <x:c r="M11" t="str">
        <x:v>N/M: EV and aligned-currency financials are required</x:v>
      </x:c>
    </x:row>
    <x:row r="12">
      <x:c r="A12" s="42" t="str">
        <x:v>DL-54c26c1e05d520bd</x:v>
      </x:c>
      <x:c r="B12" s="44" t="n">
        <x:v>46167</x:v>
      </x:c>
      <x:c r="C12" s="42" t="str">
        <x:v>Not disclosed</x:v>
      </x:c>
      <x:c r="D12" s="45"/>
      <x:c r="E12" s="42" t="str">
        <x:v>Not disclosed</x:v>
      </x:c>
      <x:c r="F12" s="45"/>
      <x:c r="G12" s="45"/>
      <x:c r="H12" s="42" t="str">
        <x:v>Not disclosed</x:v>
      </x:c>
      <x:c r="I12" s="47" t="str">
        <x:f>IFERROR(IF(AND($D12&gt;0,$F12&gt;0,$E12=$H12),$D12/$F12,""),"")</x:f>
      </x:c>
      <x:c r="J12" s="47" t="str">
        <x:f>IFERROR(IF(AND($D12&gt;0,$G12&gt;0,$E12=$H12),$D12/$G12,""),"")</x:f>
      </x:c>
      <x:c r="K12" s="43" t="str">
        <x:f>IF(OR($I12&gt;0,$J12&gt;0),"YES","NO")</x:f>
        <x:v>NO</x:v>
      </x:c>
      <x:c r="L12" t="str">
        <x:v>Not disclosed</x:v>
      </x:c>
      <x:c r="M12" t="str">
        <x:v>N/M: EV and aligned-currency financials are required</x:v>
      </x:c>
    </x:row>
    <x:row r="13">
      <x:c r="A13" s="42" t="str">
        <x:v>DL-32f044efd41bc454</x:v>
      </x:c>
      <x:c r="B13" s="44" t="n">
        <x:v>46157</x:v>
      </x:c>
      <x:c r="C13" s="42" t="str">
        <x:v>Not disclosed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7" t="str">
        <x:f>IFERROR(IF(AND($D13&gt;0,$F13&gt;0,$E13=$H13),$D13/$F13,""),"")</x:f>
      </x:c>
      <x:c r="J13" s="47" t="str">
        <x:f>IFERROR(IF(AND($D13&gt;0,$G13&gt;0,$E13=$H13),$D13/$G13,""),"")</x:f>
      </x:c>
      <x:c r="K13" s="43" t="str">
        <x:f>IF(OR($I13&gt;0,$J13&gt;0),"YES","NO")</x:f>
        <x:v>NO</x:v>
      </x:c>
      <x:c r="L13" t="str">
        <x:v>Not disclosed</x:v>
      </x:c>
      <x:c r="M13" t="str">
        <x:v>N/M: EV and aligned-currency financials are required</x:v>
      </x:c>
    </x:row>
    <x:row r="14">
      <x:c r="A14" s="42" t="str">
        <x:v>DL-6bc0569f7ac374fe</x:v>
      </x:c>
      <x:c r="B14" s="44" t="n">
        <x:v>46139</x:v>
      </x:c>
      <x:c r="C14" s="42" t="str">
        <x:v>Not disclosed</x:v>
      </x:c>
      <x:c r="D14" s="45"/>
      <x:c r="E14" s="42" t="str">
        <x:v>Not disclosed</x:v>
      </x:c>
      <x:c r="F14" s="45"/>
      <x:c r="G14" s="45"/>
      <x:c r="H14" s="42" t="str">
        <x:v>Not disclosed</x:v>
      </x:c>
      <x:c r="I14" s="47" t="str">
        <x:f>IFERROR(IF(AND($D14&gt;0,$F14&gt;0,$E14=$H14),$D14/$F14,""),"")</x:f>
      </x:c>
      <x:c r="J14" s="47" t="str">
        <x:f>IFERROR(IF(AND($D14&gt;0,$G14&gt;0,$E14=$H14),$D14/$G14,""),"")</x:f>
      </x:c>
      <x:c r="K14" s="43" t="str">
        <x:f>IF(OR($I14&gt;0,$J14&gt;0),"YES","NO")</x:f>
        <x:v>NO</x:v>
      </x:c>
      <x:c r="L14" t="str">
        <x:v>Not disclosed</x:v>
      </x:c>
      <x:c r="M14" t="str">
        <x:v>N/M: EV and aligned-currency financials are required</x:v>
      </x:c>
    </x:row>
    <x:row r="15">
      <x:c r="A15" s="42" t="str">
        <x:v>DL-cc671fa6b14f8f28</x:v>
      </x:c>
      <x:c r="B15" s="44" t="n">
        <x:v>46139</x:v>
      </x:c>
      <x:c r="C15" s="42" t="str">
        <x:v>Not disclosed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7" t="str">
        <x:f>IFERROR(IF(AND($D15&gt;0,$F15&gt;0,$E15=$H15),$D15/$F15,""),"")</x:f>
      </x:c>
      <x:c r="J15" s="47" t="str">
        <x:f>IFERROR(IF(AND($D15&gt;0,$G15&gt;0,$E15=$H15),$D15/$G15,""),"")</x:f>
      </x:c>
      <x:c r="K15" s="43" t="str">
        <x:f>IF(OR($I15&gt;0,$J15&gt;0),"YES","NO")</x:f>
        <x:v>NO</x:v>
      </x:c>
      <x:c r="L15" t="str">
        <x:v>Not disclosed</x:v>
      </x:c>
      <x:c r="M15" t="str">
        <x:v>N/M: EV and aligned-currency financials are required</x:v>
      </x:c>
    </x:row>
    <x:row r="16">
      <x:c r="A16" s="42" t="str">
        <x:v>DL-2d1ef3023240f32a</x:v>
      </x:c>
      <x:c r="B16" s="44" t="n">
        <x:v>46139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7" t="str">
        <x:f>IFERROR(IF(AND($D16&gt;0,$F16&gt;0,$E16=$H16),$D16/$F16,""),"")</x:f>
      </x:c>
      <x:c r="J16" s="47" t="str">
        <x:f>IFERROR(IF(AND($D16&gt;0,$G16&gt;0,$E16=$H16),$D16/$G16,""),"")</x:f>
      </x:c>
      <x:c r="K16" s="43" t="str">
        <x:f>IF(OR($I16&gt;0,$J16&gt;0),"YES","NO")</x:f>
        <x:v>NO</x:v>
      </x:c>
      <x:c r="L16" t="str">
        <x:v>Not disclosed</x:v>
      </x:c>
      <x:c r="M16" t="str">
        <x:v>N/M: EV and aligned-currency financials are required</x:v>
      </x:c>
    </x:row>
    <x:row r="17">
      <x:c r="A17" s="42" t="str">
        <x:v>DL-dd21f961f579e55a</x:v>
      </x:c>
      <x:c r="B17" s="44" t="n">
        <x:v>46139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7" t="str">
        <x:f>IFERROR(IF(AND($D17&gt;0,$F17&gt;0,$E17=$H17),$D17/$F17,""),"")</x:f>
      </x:c>
      <x:c r="J17" s="47" t="str">
        <x:f>IFERROR(IF(AND($D17&gt;0,$G17&gt;0,$E17=$H17),$D17/$G17,""),"")</x:f>
      </x:c>
      <x:c r="K17" s="43" t="str">
        <x:f>IF(OR($I17&gt;0,$J17&gt;0),"YES","NO")</x:f>
        <x:v>NO</x:v>
      </x:c>
      <x:c r="L17" t="str">
        <x:v>Not disclosed</x:v>
      </x:c>
      <x:c r="M17" t="str">
        <x:v>N/M: EV and aligned-currency financials are required</x:v>
      </x:c>
    </x:row>
    <x:row r="18">
      <x:c r="A18" s="42" t="str">
        <x:v>DL-c10daba8af8e67d8</x:v>
      </x:c>
      <x:c r="B18" s="44" t="n">
        <x:v>46128</x:v>
      </x:c>
      <x:c r="C18" s="42" t="str">
        <x:v>Точка Банка</x:v>
      </x:c>
      <x:c r="D18" s="45"/>
      <x:c r="E18" s="42" t="str">
        <x:v>RUB</x:v>
      </x:c>
      <x:c r="F18" s="45"/>
      <x:c r="G18" s="45"/>
      <x:c r="H18" s="42" t="str">
        <x:v>Not disclosed</x:v>
      </x:c>
      <x:c r="I18" s="47" t="str">
        <x:f>IFERROR(IF(AND($D18&gt;0,$F18&gt;0,$E18=$H18),$D18/$F18,""),"")</x:f>
      </x:c>
      <x:c r="J18" s="47" t="str">
        <x:f>IFERROR(IF(AND($D18&gt;0,$G18&gt;0,$E18=$H18),$D18/$G18,""),"")</x:f>
      </x:c>
      <x:c r="K18" s="43" t="str">
        <x:f>IF(OR($I18&gt;0,$J18&gt;0),"YES","NO")</x:f>
        <x:v>NO</x:v>
      </x:c>
      <x:c r="L18" t="str">
        <x:v>Not disclosed</x:v>
      </x:c>
      <x:c r="M18" t="str">
        <x:v>N/M: EV and aligned-currency financials are required</x:v>
      </x:c>
    </x:row>
    <x:row r="19">
      <x:c r="A19" s="42" t="str">
        <x:v>DL-251bf0d0b7b600c1</x:v>
      </x:c>
      <x:c r="B19" s="44" t="n">
        <x:v>45642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7" t="str">
        <x:f>IFERROR(IF(AND($D19&gt;0,$F19&gt;0,$E19=$H19),$D19/$F19,""),"")</x:f>
      </x:c>
      <x:c r="J19" s="47" t="str">
        <x:f>IFERROR(IF(AND($D19&gt;0,$G19&gt;0,$E19=$H19),$D19/$G19,""),"")</x:f>
      </x:c>
      <x:c r="K19" s="43" t="str">
        <x:f>IF(OR($I19&gt;0,$J19&gt;0),"YES","NO")</x:f>
        <x:v>NO</x:v>
      </x:c>
      <x:c r="L19" t="str">
        <x:v>Not disclosed</x:v>
      </x:c>
      <x:c r="M19" t="str">
        <x:v>N/M: EV and aligned-currency financials are required</x:v>
      </x:c>
    </x:row>
    <x:row r="20">
      <x:c r="A20" s="42" t="str">
        <x:v>DL-0242cf80b3f97c9c</x:v>
      </x:c>
      <x:c r="B20" s="44" t="n">
        <x:v>45288</x:v>
      </x:c>
      <x:c r="C20" s="42" t="str">
        <x:v>25% провайдера IT-инфраструктуры Selectel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7" t="str">
        <x:f>IFERROR(IF(AND($D20&gt;0,$F20&gt;0,$E20=$H20),$D20/$F20,""),"")</x:f>
      </x:c>
      <x:c r="J20" s="47" t="str">
        <x:f>IFERROR(IF(AND($D20&gt;0,$G20&gt;0,$E20=$H20),$D20/$G20,""),"")</x:f>
      </x:c>
      <x:c r="K20" s="43" t="str">
        <x:f>IF(OR($I20&gt;0,$J20&gt;0),"YES","NO")</x:f>
        <x:v>NO</x:v>
      </x:c>
      <x:c r="L20" t="str">
        <x:v>Not disclosed</x:v>
      </x:c>
      <x:c r="M20" t="str">
        <x:v>N/M: EV and aligned-currency financials are required</x:v>
      </x:c>
    </x:row>
    <x:row r="21">
      <x:c r="A21" s="42" t="str">
        <x:v>CURATED-MA-BROADCOM-VMWARE-2022</x:v>
      </x:c>
      <x:c r="B21" s="44" t="n">
        <x:v>44707</x:v>
      </x:c>
      <x:c r="C21" s="42" t="str">
        <x:v>VMware</x:v>
      </x:c>
      <x:c r="D21" s="45" t="n">
        <x:v>69000000000</x:v>
      </x:c>
      <x:c r="E21" s="42" t="str">
        <x:v>USD</x:v>
      </x:c>
      <x:c r="F21" s="45" t="n">
        <x:v>12851000000</x:v>
      </x:c>
      <x:c r="G21" s="45" t="n">
        <x:v>2966000000</x:v>
      </x:c>
      <x:c r="H21" s="42" t="str">
        <x:v>USD</x:v>
      </x:c>
      <x:c r="I21" s="47" t="n">
        <x:f>IFERROR(IF(AND($D21&gt;0,$F21&gt;0,$E21=$H21),$D21/$F21,""),"")</x:f>
        <x:v>5.369231966383939</x:v>
      </x:c>
      <x:c r="J21" s="47" t="n">
        <x:f>IFERROR(IF(AND($D21&gt;0,$G21&gt;0,$E21=$H21),$D21/$G21,""),"")</x:f>
        <x:v>23.263654753877276</x:v>
      </x:c>
      <x:c r="K21" s="43" t="str">
        <x:f>IF(OR($I21&gt;0,$J21&gt;0),"YES","NO")</x:f>
        <x:v>YES</x:v>
      </x:c>
      <x:c r="L21" t="str">
        <x:v>VMware FY2022 Form 10-K</x:v>
      </x:c>
      <x:c r="M21" t="str">
        <x:v>Calculated from disclosed EV and latest audited financials available at announcement</x:v>
      </x:c>
    </x:row>
    <x:row r="22">
      <x:c r="A22" s="42" t="str">
        <x:v>CURATED-MA-MICROSOFT-ACTIVISION-2022</x:v>
      </x:c>
      <x:c r="B22" s="44" t="n">
        <x:v>44579</x:v>
      </x:c>
      <x:c r="C22" s="42" t="str">
        <x:v>Activision Blizzard</x:v>
      </x:c>
      <x:c r="D22" s="45" t="n">
        <x:v>68700000000</x:v>
      </x:c>
      <x:c r="E22" s="42" t="str">
        <x:v>USD</x:v>
      </x:c>
      <x:c r="F22" s="45" t="n">
        <x:v>8803000000</x:v>
      </x:c>
      <x:c r="G22" s="45" t="n">
        <x:v>3699000000</x:v>
      </x:c>
      <x:c r="H22" s="42" t="str">
        <x:v>USD</x:v>
      </x:c>
      <x:c r="I22" s="47" t="n">
        <x:f>IFERROR(IF(AND($D22&gt;0,$F22&gt;0,$E22=$H22),$D22/$F22,""),"")</x:f>
        <x:v>7.804157673520391</x:v>
      </x:c>
      <x:c r="J22" s="47" t="n">
        <x:f>IFERROR(IF(AND($D22&gt;0,$G22&gt;0,$E22=$H22),$D22/$G22,""),"")</x:f>
        <x:v>18.572587185725872</x:v>
      </x:c>
      <x:c r="K22" s="43" t="str">
        <x:f>IF(OR($I22&gt;0,$J22&gt;0),"YES","NO")</x:f>
        <x:v>YES</x:v>
      </x:c>
      <x:c r="L22" t="str">
        <x:v>Activision Blizzard 2022 Form 10-K comparative FY2021 data</x:v>
      </x:c>
      <x:c r="M22" t="str">
        <x:v>Calculated from disclosed EV and audited financials; report became available after announcement</x:v>
      </x:c>
    </x:row>
  </x:sheetData>
  <x:mergeCells>
    <x:mergeCell ref="A1:M1"/>
    <x:mergeCell ref="A2:M2"/>
  </x:mergeCells>
  <x:conditionalFormatting sqref="K7:K22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18250c036f84e1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55" hidden="0" customWidth="1"/>
    <x:col min="10" max="10" width="3" hidden="0" customWidth="1"/>
    <x:col min="11" max="11" width="30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6" t="str">
        <x:v>Source register plus visible model checks; every calculation can be traced to a public URL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23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  <x:c r="I4" s="9"/>
      <x:c r="K4" s="9" t="str">
        <x:v>MODEL CHECKS</x:v>
      </x:c>
      <x:c r="L4" s="9"/>
      <x:c r="M4" s="9"/>
      <x:c r="N4" s="9"/>
      <x:c r="O4" s="9"/>
      <x:c r="P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Source</x:v>
      </x:c>
      <x:c r="E6" s="18" t="str">
        <x:v>Type</x:v>
      </x:c>
      <x:c r="F6" s="18" t="str">
        <x:v>Evidence</x:v>
      </x:c>
      <x:c r="G6" s="18" t="str">
        <x:v>URL</x:v>
      </x:c>
      <x:c r="H6" s="18" t="str">
        <x:v>Published</x:v>
      </x:c>
      <x:c r="I6" s="19" t="str">
        <x:v>Headline</x:v>
      </x:c>
      <x:c r="K6" s="17" t="str">
        <x:v>Check</x:v>
      </x:c>
      <x:c r="L6" s="18" t="str">
        <x:v>Actual</x:v>
      </x:c>
      <x:c r="M6" s="18" t="str">
        <x:v>Expected</x:v>
      </x:c>
      <x:c r="N6" s="18" t="str">
        <x:v>Difference</x:v>
      </x:c>
      <x:c r="O6" s="18" t="str">
        <x:v>Tolerance</x:v>
      </x:c>
      <x:c r="P6" s="19" t="str">
        <x:v>Status</x:v>
      </x:c>
    </x:row>
    <x:row r="7">
      <x:c r="A7" s="42" t="str">
        <x:v>DL-moex-101717</x:v>
      </x:c>
      <x:c r="B7" s="44" t="n">
        <x:v>46205</x:v>
      </x:c>
      <x:c r="C7" s="42" t="str">
        <x:v>Ozon</x:v>
      </x:c>
      <x:c r="D7" s="42" t="str">
        <x:v>MOEX disclosure</x:v>
      </x:c>
      <x:c r="E7" s="42" t="str">
        <x:v>official_exchange</x:v>
      </x:c>
      <x:c r="F7" s="42" t="str">
        <x:v>confirmed</x:v>
      </x:c>
      <x:c r="G7" s="42" t="str">
        <x:v>https://www.moex.com/n101717</x:v>
      </x:c>
      <x:c r="H7" s="44" t="n">
        <x:v>46205</x:v>
      </x:c>
      <x:c r="I7" s="42" t="str">
        <x:v>Московская биржа начала торги паями активно управляемого БПИФ на российские гособлигации</x:v>
      </x:c>
      <x:c r="K7" t="str">
        <x:v>Duplicate deal IDs</x:v>
      </x:c>
      <x:c r="L7" t="n">
        <x:f>SUMPRODUCT(--(COUNTIF('Deals'!$A$7:$A$506,'Deals'!$A$7:$A$506)&gt;1))/2</x:f>
        <x:v>0</x:v>
      </x:c>
      <x:c r="M7" t="n">
        <x:v>0</x:v>
      </x:c>
      <x:c r="N7" t="n">
        <x:f>L7-M7</x:f>
        <x:v>0</x:v>
      </x:c>
      <x:c r="O7" t="n">
        <x:v>0</x:v>
      </x:c>
      <x:c r="P7" t="str">
        <x:f>IF(ABS(N7)&lt;=O7,"OK","REVIEW")</x:f>
        <x:v>OK</x:v>
      </x:c>
    </x:row>
    <x:row r="8">
      <x:c r="A8" s="42" t="str">
        <x:v>DL-moex-101722</x:v>
      </x:c>
      <x:c r="B8" s="44" t="n">
        <x:v>46205</x:v>
      </x:c>
      <x:c r="C8" s="42" t="str">
        <x:v>Банк ВТБ</x:v>
      </x:c>
      <x:c r="D8" s="42" t="str">
        <x:v>MOEX disclosure</x:v>
      </x:c>
      <x:c r="E8" s="42" t="str">
        <x:v>official_exchange</x:v>
      </x:c>
      <x:c r="F8" s="42" t="str">
        <x:v>confirmed</x:v>
      </x:c>
      <x:c r="G8" s="42" t="str">
        <x:v>https://www.moex.com/n101722</x:v>
      </x:c>
      <x:c r="H8" s="44" t="n">
        <x:v>46205</x:v>
      </x:c>
      <x:c r="I8" s="42" t="str">
        <x:v>Итоги выпуска биржевых облигаций</x:v>
      </x:c>
      <x:c r="K8" t="str">
        <x:v>Missing primary URLs</x:v>
      </x:c>
      <x:c r="L8" t="n">
        <x:f>COUNTIFS('Deals'!$A$7:$A$506,"&lt;&gt;",'Deals'!$AS$7:$AS$506,"")</x:f>
        <x:v>0</x:v>
      </x:c>
      <x:c r="M8" t="n">
        <x:v>0</x:v>
      </x:c>
      <x:c r="N8" t="n">
        <x:f>L8-M8</x:f>
        <x:v>0</x:v>
      </x:c>
      <x:c r="O8" t="n">
        <x:v>0</x:v>
      </x:c>
      <x:c r="P8" t="str">
        <x:f>IF(ABS(N8)&lt;=O8,"OK","REVIEW")</x:f>
        <x:v>OK</x:v>
      </x:c>
    </x:row>
    <x:row r="9">
      <x:c r="A9" s="42" t="str">
        <x:v>DL-moex-101691</x:v>
      </x:c>
      <x:c r="B9" s="44" t="n">
        <x:v>46204</x:v>
      </x:c>
      <x:c r="C9" s="42" t="str">
        <x:v>Not disclosed</x:v>
      </x:c>
      <x:c r="D9" s="42" t="str">
        <x:v>MOEX disclosure</x:v>
      </x:c>
      <x:c r="E9" s="42" t="str">
        <x:v>official_exchange</x:v>
      </x:c>
      <x:c r="F9" s="42" t="str">
        <x:v>confirmed</x:v>
      </x:c>
      <x:c r="G9" s="42" t="str">
        <x:v>https://www.moex.com/n101691</x:v>
      </x:c>
      <x:c r="H9" s="44" t="n">
        <x:v>46204</x:v>
      </x:c>
      <x:c r="I9" s="42" t="str">
        <x:v>О регистрации изменений в эмиссионные документы</x:v>
      </x:c>
      <x:c r="K9" t="str">
        <x:v>Missing announced dates</x:v>
      </x:c>
      <x:c r="L9" t="n">
        <x:f>COUNTIFS('Deals'!$A$7:$A$506,"&lt;&gt;",'Deals'!$B$7:$B$506,"")</x:f>
        <x:v>0</x:v>
      </x:c>
      <x:c r="M9" t="n">
        <x:v>0</x:v>
      </x:c>
      <x:c r="N9" t="n">
        <x:f>L9-M9</x:f>
        <x:v>0</x:v>
      </x:c>
      <x:c r="O9" t="n">
        <x:v>0</x:v>
      </x:c>
      <x:c r="P9" t="str">
        <x:f>IF(ABS(N9)&lt;=O9,"OK","REVIEW")</x:f>
        <x:v>OK</x:v>
      </x:c>
    </x:row>
    <x:row r="10">
      <x:c r="A10" s="42" t="str">
        <x:v>DL-moex-101690</x:v>
      </x:c>
      <x:c r="B10" s="44" t="n">
        <x:v>46204</x:v>
      </x:c>
      <x:c r="C10" s="42" t="str">
        <x:v>Not disclosed</x:v>
      </x:c>
      <x:c r="D10" s="42" t="str">
        <x:v>MOEX disclosure</x:v>
      </x:c>
      <x:c r="E10" s="42" t="str">
        <x:v>official_exchange</x:v>
      </x:c>
      <x:c r="F10" s="42" t="str">
        <x:v>confirmed</x:v>
      </x:c>
      <x:c r="G10" s="42" t="str">
        <x:v>https://www.moex.com/n101690</x:v>
      </x:c>
      <x:c r="H10" s="44" t="n">
        <x:v>46204</x:v>
      </x:c>
      <x:c r="I10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  <x:c r="K10" t="str">
        <x:v>Unsafe URLs</x:v>
      </x:c>
      <x:c r="L10" t="n">
        <x:f>SUMPRODUCT(--(LEFT('Deals'!$AS$7:$AS$506,4)&lt;&gt;"http"),--('Deals'!$A$7:$A$506&lt;&gt;""))</x:f>
        <x:v>0</x:v>
      </x:c>
      <x:c r="M10" t="n">
        <x:v>0</x:v>
      </x:c>
      <x:c r="N10" t="n">
        <x:f>L10-M10</x:f>
        <x:v>0</x:v>
      </x:c>
      <x:c r="O10" t="n">
        <x:v>0</x:v>
      </x:c>
      <x:c r="P10" t="str">
        <x:f>IF(ABS(N10)&lt;=O10,"OK","REVIEW")</x:f>
        <x:v>OK</x:v>
      </x:c>
    </x:row>
    <x:row r="11">
      <x:c r="A11" s="42" t="str">
        <x:v>DL-moex-101688</x:v>
      </x:c>
      <x:c r="B11" s="44" t="n">
        <x:v>46204</x:v>
      </x:c>
      <x:c r="C11" s="42" t="str">
        <x:v>серии 001Р-09 ПАО "ТрансФин-М" с 02 июля 2026 год. О порядке приобретения облигаций</x:v>
      </x:c>
      <x:c r="D11" s="42" t="str">
        <x:v>MOEX disclosure</x:v>
      </x:c>
      <x:c r="E11" s="42" t="str">
        <x:v>official_exchange</x:v>
      </x:c>
      <x:c r="F11" s="42" t="str">
        <x:v>confirmed</x:v>
      </x:c>
      <x:c r="G11" s="42" t="str">
        <x:v>https://www.moex.com/n101688</x:v>
      </x:c>
      <x:c r="H11" s="44" t="n">
        <x:v>46204</x:v>
      </x:c>
      <x:c r="I11" s="42" t="str">
        <x:v>О порядке приобретения облигаций серии 001Р-09 ПАО "ТрансФин-М" с 02 июля 2026 год</x:v>
      </x:c>
      <x:c r="K11" t="str">
        <x:v>Multiples without EV</x:v>
      </x:c>
      <x:c r="L11" t="n">
        <x:f>COUNTIFS('Multiples'!$K$7:$K$506,"YES",'Multiples'!$D$7:$D$506,"")</x:f>
        <x:v>0</x:v>
      </x:c>
      <x:c r="M11" t="n">
        <x:v>0</x:v>
      </x:c>
      <x:c r="N11" t="n">
        <x:f>L11-M11</x:f>
        <x:v>0</x:v>
      </x:c>
      <x:c r="O11" t="n">
        <x:v>0</x:v>
      </x:c>
      <x:c r="P11" t="str">
        <x:f>IF(ABS(N11)&lt;=O11,"OK","REVIEW")</x:f>
        <x:v>OK</x:v>
      </x:c>
    </x:row>
    <x:row r="12">
      <x:c r="A12" s="42" t="str">
        <x:v>DL-moex-101684</x:v>
      </x:c>
      <x:c r="B12" s="44" t="n">
        <x:v>46204</x:v>
      </x:c>
      <x:c r="C12" s="42" t="str">
        <x:v>Публичное акционерное общество "Сбербанк России"</x:v>
      </x:c>
      <x:c r="D12" s="42" t="str">
        <x:v>MOEX disclosure</x:v>
      </x:c>
      <x:c r="E12" s="42" t="str">
        <x:v>official_exchange</x:v>
      </x:c>
      <x:c r="F12" s="42" t="str">
        <x:v>confirmed</x:v>
      </x:c>
      <x:c r="G12" s="42" t="str">
        <x:v>https://www.moex.com/n101684</x:v>
      </x:c>
      <x:c r="H12" s="44" t="n">
        <x:v>46204</x:v>
      </x:c>
      <x:c r="I12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  <x:c r="K12" t="str">
        <x:v>Multiples with currency mismatch</x:v>
      </x:c>
      <x:c r="L12" t="n">
        <x:f>SUMPRODUCT(--('Multiples'!$K$7:$K$506="YES"),--('Multiples'!$E$7:$E$506&lt;&gt;'Multiples'!$H$7:$H$506))</x:f>
        <x:v>0</x:v>
      </x:c>
      <x:c r="M12" t="n">
        <x:v>0</x:v>
      </x:c>
      <x:c r="N12" t="n">
        <x:f>L12-M12</x:f>
        <x:v>0</x:v>
      </x:c>
      <x:c r="O12" t="n">
        <x:v>0</x:v>
      </x:c>
      <x:c r="P12" t="str">
        <x:f>IF(ABS(N12)&lt;=O12,"OK","REVIEW")</x:f>
        <x:v>OK</x:v>
      </x:c>
    </x:row>
    <x:row r="13">
      <x:c r="A13" s="42" t="str">
        <x:v>DL-3d3c82bb59e25b8e</x:v>
      </x:c>
      <x:c r="B13" s="44" t="n">
        <x:v>46204</x:v>
      </x:c>
      <x:c r="C13" s="42" t="str">
        <x:v>Not disclosed</x:v>
      </x:c>
      <x:c r="D13" s="42" t="str">
        <x:v>Финам</x:v>
      </x:c>
      <x:c r="E13" s="42" t="str">
        <x:v>public_web</x:v>
      </x:c>
      <x:c r="F13" s="42" t="str">
        <x:v>unverified</x:v>
      </x:c>
      <x:c r="G13" s="42" t="str">
        <x:v>https://www.finam.ru/publications/item/rynok-pytaetsya-rasti-aktsii-sistemy-ostayutsya-v-liderakh-padeniya-posle-sdelki-s-vtb-20260701-1023/</x:v>
      </x:c>
      <x:c r="H13" s="44" t="n">
        <x:v>46204</x:v>
      </x:c>
      <x:c r="I13" s="42" t="str">
        <x:v>Рынок пытается расти, акции «Системы» остаются в лидерах падения после сделки с ВТБ - Финам</x:v>
      </x:c>
      <x:c r="K13" t="str">
        <x:v>Financials without source</x:v>
      </x:c>
      <x:c r="L13" t="n">
        <x:f>COUNTIFS('Financials'!$A$7:$A$506,"&lt;&gt;",'Financials'!$N$7:$N$506,"")</x:f>
        <x:v>0</x:v>
      </x:c>
      <x:c r="M13" t="n">
        <x:v>0</x:v>
      </x:c>
      <x:c r="N13" t="n">
        <x:f>L13-M13</x:f>
        <x:v>0</x:v>
      </x:c>
      <x:c r="O13" t="n">
        <x:v>0</x:v>
      </x:c>
      <x:c r="P13" t="str">
        <x:f>IF(ABS(N13)&lt;=O13,"OK","REVIEW")</x:f>
        <x:v>OK</x:v>
      </x:c>
    </x:row>
    <x:row r="14">
      <x:c r="A14" s="42" t="str">
        <x:v>DL-3d3c82bb59e25b8e</x:v>
      </x:c>
      <x:c r="B14" s="44" t="n">
        <x:v>46204</x:v>
      </x:c>
      <x:c r="C14" s="42" t="str">
        <x:v>Not disclosed</x:v>
      </x:c>
      <x:c r="D14" s="42" t="str">
        <x:v>Финам</x:v>
      </x:c>
      <x:c r="E14" s="42" t="str">
        <x:v>archive_discovery</x:v>
      </x:c>
      <x:c r="F14" s="42" t="str">
        <x:v>unverified</x:v>
      </x:c>
      <x:c r="G14" s="42" t="str">
        <x:v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H14" s="44"/>
      <x:c r="I14" s="42" t="str">
        <x:v>Рынок пытается расти, акции «Системы» остаются в лидерах падения после сделки с ВТБ - Финам</x:v>
      </x:c>
      <x:c r="K14" t="str">
        <x:v>Eligible multiple observations</x:v>
      </x:c>
      <x:c r="L14" t="n">
        <x:f>COUNTIF('Multiples'!$K$7:$K$506,"YES")</x:f>
        <x:v>2</x:v>
      </x:c>
      <x:c r="M14" t="str">
        <x:v>&gt;=1</x:v>
      </x:c>
      <x:c r="P14" t="str">
        <x:f>IF(L14&gt;=1,"OK","REVIEW")</x:f>
        <x:v>OK</x:v>
      </x:c>
    </x:row>
    <x:row r="15">
      <x:c r="A15" s="42" t="str">
        <x:v>DL-c76896181d89cde6</x:v>
      </x:c>
      <x:c r="B15" s="44" t="n">
        <x:v>46203</x:v>
      </x:c>
      <x:c r="C15" s="42" t="str">
        <x:v>ВУШ завершил первый этап размещения облигаций</x:v>
      </x:c>
      <x:c r="D15" s="42" t="str">
        <x:v>БКС Экспресс</x:v>
      </x:c>
      <x:c r="E15" s="42" t="str">
        <x:v>public_web</x:v>
      </x:c>
      <x:c r="F15" s="42" t="str">
        <x:v>unverified</x:v>
      </x:c>
      <x:c r="G15" s="42" t="str">
        <x:v>https://bcs-express.ru/novosti-i-analitika/vush-zavershil-pervyi-etap-razmeshcheniia-obligatsii</x:v>
      </x:c>
      <x:c r="H15" s="44" t="n">
        <x:v>46203</x:v>
      </x:c>
      <x:c r="I15" s="42" t="str">
        <x:v>ВУШ завершил первый этап размещения облигаций - БКС Экспресс</x:v>
      </x:c>
    </x:row>
    <x:row r="16">
      <x:c r="A16" s="42" t="str">
        <x:v>DL-c76896181d89cde6</x:v>
      </x:c>
      <x:c r="B16" s="44" t="n">
        <x:v>46203</x:v>
      </x:c>
      <x:c r="C16" s="42" t="str">
        <x:v>ВУШ завершил первый этап размещения облигаций</x:v>
      </x:c>
      <x:c r="D16" s="42" t="str">
        <x:v>БКС Экспресс</x:v>
      </x:c>
      <x:c r="E16" s="42" t="str">
        <x:v>archive_discovery</x:v>
      </x:c>
      <x:c r="F16" s="42" t="str">
        <x:v>unverified</x:v>
      </x:c>
      <x:c r="G16" s="42" t="str">
        <x:v>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H16" s="44"/>
      <x:c r="I16" s="42" t="str">
        <x:v>ВУШ завершил первый этап размещения облигаций - БКС Экспресс</x:v>
      </x:c>
      <x:c r="K16" s="51" t="str">
        <x:v>Overall model status</x:v>
      </x:c>
      <x:c r="L16" s="52"/>
      <x:c r="M16" s="52"/>
      <x:c r="N16" s="52"/>
      <x:c r="O16" s="52"/>
      <x:c r="P16" s="53" t="str">
        <x:f>IF(COUNTIF(P7:P14,"REVIEW")=0,"OK","REVIEW")</x:f>
        <x:v>OK</x:v>
      </x:c>
    </x:row>
    <x:row r="17">
      <x:c r="A17" s="42" t="str">
        <x:v>DL-moex-101536</x:v>
      </x:c>
      <x:c r="B17" s="44" t="n">
        <x:v>46202</x:v>
      </x:c>
      <x:c r="C17" s="42" t="str">
        <x:v>Газпромбанк</x:v>
      </x:c>
      <x:c r="D17" s="42" t="str">
        <x:v>MOEX disclosure</x:v>
      </x:c>
      <x:c r="E17" s="42" t="str">
        <x:v>official_exchange</x:v>
      </x:c>
      <x:c r="F17" s="42" t="str">
        <x:v>confirmed</x:v>
      </x:c>
      <x:c r="G17" s="42" t="str">
        <x:v>https://www.moex.com/n101536</x:v>
      </x:c>
      <x:c r="H17" s="44" t="n">
        <x:v>46202</x:v>
      </x:c>
      <x:c r="I17" s="42" t="str">
        <x:v>Итоги выпуска биржевых облигаций</x:v>
      </x:c>
    </x:row>
    <x:row r="18">
      <x:c r="A18" s="42" t="str">
        <x:v>DL-moex-101565</x:v>
      </x:c>
      <x:c r="B18" s="44" t="n">
        <x:v>46202</x:v>
      </x:c>
      <x:c r="C18" s="42" t="str">
        <x:v>Общество с ограниченной ответственностью профессиональная коллекторская организация "Вернём"</x:v>
      </x:c>
      <x:c r="D18" s="42" t="str">
        <x:v>MOEX disclosure</x:v>
      </x:c>
      <x:c r="E18" s="42" t="str">
        <x:v>official_exchange</x:v>
      </x:c>
      <x:c r="F18" s="42" t="str">
        <x:v>confirmed</x:v>
      </x:c>
      <x:c r="G18" s="42" t="str">
        <x:v>https://www.moex.com/n101565</x:v>
      </x:c>
      <x:c r="H18" s="44" t="n">
        <x:v>46202</x:v>
      </x:c>
      <x:c r="I1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9">
      <x:c r="A19" s="42" t="str">
        <x:v>DL-moex-101562</x:v>
      </x:c>
      <x:c r="B19" s="44" t="n">
        <x:v>46202</x:v>
      </x:c>
      <x:c r="C19" s="42" t="str">
        <x:v>Not disclosed</x:v>
      </x:c>
      <x:c r="D19" s="42" t="str">
        <x:v>MOEX disclosure</x:v>
      </x:c>
      <x:c r="E19" s="42" t="str">
        <x:v>official_exchange</x:v>
      </x:c>
      <x:c r="F19" s="42" t="str">
        <x:v>confirmed</x:v>
      </x:c>
      <x:c r="G19" s="42" t="str">
        <x:v>https://www.moex.com/n101562</x:v>
      </x:c>
      <x:c r="H19" s="44" t="n">
        <x:v>46202</x:v>
      </x:c>
      <x:c r="I19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20">
      <x:c r="A20" s="42" t="str">
        <x:v>DL-moex-101561</x:v>
      </x:c>
      <x:c r="B20" s="44" t="n">
        <x:v>46202</x:v>
      </x:c>
      <x:c r="C20" s="42" t="str">
        <x:v>ПАО АФК "СИСТЕМА"</x:v>
      </x:c>
      <x:c r="D20" s="42" t="str">
        <x:v>MOEX disclosure</x:v>
      </x:c>
      <x:c r="E20" s="42" t="str">
        <x:v>official_exchange</x:v>
      </x:c>
      <x:c r="F20" s="42" t="str">
        <x:v>confirmed</x:v>
      </x:c>
      <x:c r="G20" s="42" t="str">
        <x:v>https://www.moex.com/n101561</x:v>
      </x:c>
      <x:c r="H20" s="44" t="n">
        <x:v>46202</x:v>
      </x:c>
      <x:c r="I20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21">
      <x:c r="A21" s="42" t="str">
        <x:v>DL-moex-101559</x:v>
      </x:c>
      <x:c r="B21" s="44" t="n">
        <x:v>46202</x:v>
      </x:c>
      <x:c r="C21" s="42" t="str">
        <x:v>Акционерное общество "Сбербанк КИБ"</x:v>
      </x:c>
      <x:c r="D21" s="42" t="str">
        <x:v>MOEX disclosure</x:v>
      </x:c>
      <x:c r="E21" s="42" t="str">
        <x:v>official_exchange</x:v>
      </x:c>
      <x:c r="F21" s="42" t="str">
        <x:v>confirmed</x:v>
      </x:c>
      <x:c r="G21" s="42" t="str">
        <x:v>https://www.moex.com/n101559</x:v>
      </x:c>
      <x:c r="H21" s="44" t="n">
        <x:v>46202</x:v>
      </x:c>
      <x:c r="I21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22">
      <x:c r="A22" s="42" t="str">
        <x:v>DL-884a90d63a74113a</x:v>
      </x:c>
      <x:c r="B22" s="44" t="n">
        <x:v>46202</x:v>
      </x:c>
      <x:c r="C22" s="42" t="str">
        <x:v>SpaceX</x:v>
      </x:c>
      <x:c r="D22" s="42" t="str">
        <x:v>Финансы Mail</x:v>
      </x:c>
      <x:c r="E22" s="42" t="str">
        <x:v>public_web</x:v>
      </x:c>
      <x:c r="F22" s="42" t="str">
        <x:v>unverified</x:v>
      </x:c>
      <x:c r="G22" s="42" t="str">
        <x:v>https://finance.mail.ru/article/vyipusk-obligatsij-spacex-na-25-mlrd-vyizval-opaseniya-investorov-69215522/</x:v>
      </x:c>
      <x:c r="H22" s="44" t="n">
        <x:v>46202</x:v>
      </x:c>
      <x:c r="I22" s="42" t="str">
        <x:v>Выпуск облигаций SpaceX на $25 млрд вызвал опасения инвесторов - Финансы Mail</x:v>
      </x:c>
    </x:row>
    <x:row r="23">
      <x:c r="A23" s="42" t="str">
        <x:v>DL-884a90d63a74113a</x:v>
      </x:c>
      <x:c r="B23" s="44" t="n">
        <x:v>46202</x:v>
      </x:c>
      <x:c r="C23" s="42" t="str">
        <x:v>SpaceX</x:v>
      </x:c>
      <x:c r="D23" s="42" t="str">
        <x:v>Финансы Mail</x:v>
      </x:c>
      <x:c r="E23" s="42" t="str">
        <x:v>archive_discovery</x:v>
      </x:c>
      <x:c r="F23" s="42" t="str">
        <x:v>unverified</x:v>
      </x:c>
      <x:c r="G23" s="42" t="str">
        <x:v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H23" s="44"/>
      <x:c r="I23" s="42" t="str">
        <x:v>Выпуск облигаций SpaceX на $25 млрд вызвал опасения инвесторов - Финансы Mail</x:v>
      </x:c>
    </x:row>
    <x:row r="24">
      <x:c r="A24" s="42" t="str">
        <x:v>DL-b10ff92f48cadefa</x:v>
      </x:c>
      <x:c r="B24" s="44" t="n">
        <x:v>46202</x:v>
      </x:c>
      <x:c r="C24" s="42" t="str">
        <x:v>VKCO</x:v>
      </x:c>
      <x:c r="D24" s="42" t="str">
        <x:v>Финам</x:v>
      </x:c>
      <x:c r="E24" s="42" t="str">
        <x:v>public_web</x:v>
      </x:c>
      <x:c r="F24" s="42" t="str">
        <x:v>unverified</x:v>
      </x:c>
      <x:c r="G24" s="42" t="str">
        <x:v>https://www.finam.ru/publications/item/razmeshcheniya-aktsiy-v-ssha-v-1-polugodii-sostavili-rekordnye-251-mlrd-blagodarya-spacex-20260629-1601/</x:v>
      </x:c>
      <x:c r="H24" s="44" t="n">
        <x:v>46202</x:v>
      </x:c>
      <x:c r="I24" s="42" t="str">
        <x:v>Объем IPO и продаж акций в США в 1 полугодии составил рекордные $251 млрд благодаря SpaceX - Финам</x:v>
      </x:c>
    </x:row>
    <x:row r="25">
      <x:c r="A25" s="42" t="str">
        <x:v>DL-b10ff92f48cadefa</x:v>
      </x:c>
      <x:c r="B25" s="44" t="n">
        <x:v>46202</x:v>
      </x:c>
      <x:c r="C25" s="42" t="str">
        <x:v>VKCO</x:v>
      </x:c>
      <x:c r="D25" s="42" t="str">
        <x:v>Финам</x:v>
      </x:c>
      <x:c r="E25" s="42" t="str">
        <x:v>archive_discovery</x:v>
      </x:c>
      <x:c r="F25" s="42" t="str">
        <x:v>unverified</x:v>
      </x:c>
      <x:c r="G25" s="42" t="str">
        <x:v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H25" s="44"/>
      <x:c r="I25" s="42" t="str">
        <x:v>Объем IPO и продаж акций в США в 1 полугодии составил рекордные $251 млрд благодаря SpaceX - Финам</x:v>
      </x:c>
    </x:row>
    <x:row r="26">
      <x:c r="A26" s="42" t="str">
        <x:v>DL-4d8f7bcb385b1c88</x:v>
      </x:c>
      <x:c r="B26" s="44" t="n">
        <x:v>46201</x:v>
      </x:c>
      <x:c r="C26" s="42" t="str">
        <x:v>MTSS</x:v>
      </x:c>
      <x:c r="D26" s="42" t="str">
        <x:v>MTS Investor Relations</x:v>
      </x:c>
      <x:c r="E26" s="42" t="str">
        <x:v>public_web</x:v>
      </x:c>
      <x:c r="F26" s="42" t="str">
        <x:v>confirmed</x:v>
      </x:c>
      <x:c r="G26" s="42" t="str">
        <x:v>https://ir.mts.ru/news_and_events/corporate_releases/details/742414</x:v>
      </x:c>
      <x:c r="H26" s="44" t="n">
        <x:v>46201</x:v>
      </x:c>
      <x:c r="I26" s="42" t="str">
        <x:v>МТС успешно закрыла книгу биржевых облигаций 003Р-03 на 20 млрд руб.</x:v>
      </x:c>
    </x:row>
    <x:row r="27">
      <x:c r="A27" s="42" t="str">
        <x:v>DL-bfcdac2063ce29e4</x:v>
      </x:c>
      <x:c r="B27" s="44" t="n">
        <x:v>46201</x:v>
      </x:c>
      <x:c r="C27" s="42" t="str">
        <x:v>YDEX</x:v>
      </x:c>
      <x:c r="D27" s="42" t="str">
        <x:v>Финансы Mail</x:v>
      </x:c>
      <x:c r="E27" s="42" t="str">
        <x:v>public_web</x:v>
      </x:c>
      <x:c r="F27" s="42" t="str">
        <x:v>unverified</x:v>
      </x:c>
      <x:c r="G27" s="42" t="str">
        <x:v>https://finance.mail.ru/article/molodyie-investoryi-uvelichili-vlozheniya-v-obligatsii-v-dva-raza-69215293/</x:v>
      </x:c>
      <x:c r="H27" s="44" t="n">
        <x:v>46201</x:v>
      </x:c>
      <x:c r="I27" s="42" t="str">
        <x:v>Молодые инвесторы увеличили вложения в облигации в два раза - Финансы Mail</x:v>
      </x:c>
    </x:row>
    <x:row r="28">
      <x:c r="A28" s="42" t="str">
        <x:v>DL-bfcdac2063ce29e4</x:v>
      </x:c>
      <x:c r="B28" s="44" t="n">
        <x:v>46201</x:v>
      </x:c>
      <x:c r="C28" s="42" t="str">
        <x:v>YDEX</x:v>
      </x:c>
      <x:c r="D28" s="42" t="str">
        <x:v>Финансы Mail</x:v>
      </x:c>
      <x:c r="E28" s="42" t="str">
        <x:v>archive_discovery</x:v>
      </x:c>
      <x:c r="F28" s="42" t="str">
        <x:v>unverified</x:v>
      </x:c>
      <x:c r="G28" s="42" t="str">
        <x:v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H28" s="44"/>
      <x:c r="I28" s="42" t="str">
        <x:v>Молодые инвесторы увеличили вложения в облигации в два раза - Финансы Mail</x:v>
      </x:c>
    </x:row>
    <x:row r="29">
      <x:c r="A29" s="42" t="str">
        <x:v>DL-3c400018ff8f7b5b</x:v>
      </x:c>
      <x:c r="B29" s="44" t="n">
        <x:v>46200</x:v>
      </x:c>
      <x:c r="C29" s="42" t="str">
        <x:v>Not disclosed</x:v>
      </x:c>
      <x:c r="D29" s="42" t="str">
        <x:v>foreignpolicyjournal.com</x:v>
      </x:c>
      <x:c r="E29" s="42" t="str">
        <x:v>public_web</x:v>
      </x:c>
      <x:c r="F29" s="42" t="str">
        <x:v>unverified</x:v>
      </x:c>
      <x:c r="G29" s="42" t="str">
        <x:v>https://www.foreignpolicyjournal.com/2026/06/26/nebius-group-nasdaq-nbis-completes-eigen-ai-acquisition-analyst-lifts-stock-price-target-to-280/</x:v>
      </x:c>
      <x:c r="H29" s="44" t="n">
        <x:v>46200</x:v>
      </x:c>
      <x:c r="I29" s="42" t="str">
        <x:v>Nebius Group ( NASDAQ : NBIS ) Completes Eigen AI Acquisition , Analyst Lifts Stock Price Target To $280</x:v>
      </x:c>
    </x:row>
    <x:row r="30">
      <x:c r="A30" s="42" t="str">
        <x:v>DL-moex-101473</x:v>
      </x:c>
      <x:c r="B30" s="44" t="n">
        <x:v>46199</x:v>
      </x:c>
      <x:c r="C30" s="42" t="str">
        <x:v>Not disclosed</x:v>
      </x:c>
      <x:c r="D30" s="42" t="str">
        <x:v>MOEX disclosure</x:v>
      </x:c>
      <x:c r="E30" s="42" t="str">
        <x:v>public_web</x:v>
      </x:c>
      <x:c r="F30" s="42" t="str">
        <x:v>confirmed</x:v>
      </x:c>
      <x:c r="G30" s="42" t="str">
        <x:v>https://www.moex.com/n101473</x:v>
      </x:c>
      <x:c r="H30" s="44" t="n">
        <x:v>46199</x:v>
      </x:c>
      <x:c r="I30" s="42" t="str">
        <x:v>О регистрации проспекта биржевых облигаций</x:v>
      </x:c>
    </x:row>
    <x:row r="31">
      <x:c r="A31" s="42" t="str">
        <x:v>DL-moex-101492</x:v>
      </x:c>
      <x:c r="B31" s="44" t="n">
        <x:v>46199</x:v>
      </x:c>
      <x:c r="C31" s="42" t="str">
        <x:v>Not disclosed</x:v>
      </x:c>
      <x:c r="D31" s="42" t="str">
        <x:v>MOEX disclosure</x:v>
      </x:c>
      <x:c r="E31" s="42" t="str">
        <x:v>official_exchange</x:v>
      </x:c>
      <x:c r="F31" s="42" t="str">
        <x:v>confirmed</x:v>
      </x:c>
      <x:c r="G31" s="42" t="str">
        <x:v>https://www.moex.com/n101492</x:v>
      </x:c>
      <x:c r="H31" s="44" t="n">
        <x:v>46199</x:v>
      </x:c>
      <x:c r="I3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2">
      <x:c r="A32" s="42" t="str">
        <x:v>DL-moex-101468</x:v>
      </x:c>
      <x:c r="B32" s="44" t="n">
        <x:v>46199</x:v>
      </x:c>
      <x:c r="C32" s="42" t="str">
        <x:v>Not disclosed</x:v>
      </x:c>
      <x:c r="D32" s="42" t="str">
        <x:v>MOEX disclosure</x:v>
      </x:c>
      <x:c r="E32" s="42" t="str">
        <x:v>public_web</x:v>
      </x:c>
      <x:c r="F32" s="42" t="str">
        <x:v>confirmed</x:v>
      </x:c>
      <x:c r="G32" s="42" t="str">
        <x:v>https://www.moex.com/n101468</x:v>
      </x:c>
      <x:c r="H32" s="44" t="n">
        <x:v>46199</x:v>
      </x:c>
      <x:c r="I32" s="42" t="str">
        <x:v>О регистрации изменений в эмиссионные документы</x:v>
      </x:c>
    </x:row>
    <x:row r="33">
      <x:c r="A33" s="42" t="str">
        <x:v>DL-moex-101457</x:v>
      </x:c>
      <x:c r="B33" s="44" t="n">
        <x:v>46199</x:v>
      </x:c>
      <x:c r="C33" s="42" t="str">
        <x:v>Not disclosed</x:v>
      </x:c>
      <x:c r="D33" s="42" t="str">
        <x:v>MOEX disclosure</x:v>
      </x:c>
      <x:c r="E33" s="42" t="str">
        <x:v>public_web</x:v>
      </x:c>
      <x:c r="F33" s="42" t="str">
        <x:v>confirmed</x:v>
      </x:c>
      <x:c r="G33" s="42" t="str">
        <x:v>https://www.moex.com/n101457</x:v>
      </x:c>
      <x:c r="H33" s="44" t="n">
        <x:v>46199</x:v>
      </x:c>
      <x:c r="I33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34">
      <x:c r="A34" s="42" t="str">
        <x:v>DL-moex-101454</x:v>
      </x:c>
      <x:c r="B34" s="44" t="n">
        <x:v>46199</x:v>
      </x:c>
      <x:c r="C34" s="42" t="str">
        <x:v>Not disclosed</x:v>
      </x:c>
      <x:c r="D34" s="42" t="str">
        <x:v>MOEX disclosure</x:v>
      </x:c>
      <x:c r="E34" s="42" t="str">
        <x:v>public_web</x:v>
      </x:c>
      <x:c r="F34" s="42" t="str">
        <x:v>confirmed</x:v>
      </x:c>
      <x:c r="G34" s="42" t="str">
        <x:v>https://www.moex.com/n101454</x:v>
      </x:c>
      <x:c r="H34" s="44" t="n">
        <x:v>46199</x:v>
      </x:c>
      <x:c r="I34" s="42" t="str">
        <x:v>О порядке приобретения облигаций серии 001P-04 ООО "АРЕНЗА-ПРО" с 29 июня 2026 год</x:v>
      </x:c>
    </x:row>
    <x:row r="35">
      <x:c r="A35" s="42" t="str">
        <x:v>DL-moex-101451</x:v>
      </x:c>
      <x:c r="B35" s="44" t="n">
        <x:v>46199</x:v>
      </x:c>
      <x:c r="C35" s="42" t="str">
        <x:v>Not disclosed</x:v>
      </x:c>
      <x:c r="D35" s="42" t="str">
        <x:v>MOEX disclosure</x:v>
      </x:c>
      <x:c r="E35" s="42" t="str">
        <x:v>public_web</x:v>
      </x:c>
      <x:c r="F35" s="42" t="str">
        <x:v>confirmed</x:v>
      </x:c>
      <x:c r="G35" s="42" t="str">
        <x:v>https://www.moex.com/n101451</x:v>
      </x:c>
      <x:c r="H35" s="44" t="n">
        <x:v>46199</x:v>
      </x:c>
      <x:c r="I35" s="42" t="str">
        <x:v>О проведении выкупа облигаций с 29 июня по 03 июля 2026 года</x:v>
      </x:c>
    </x:row>
    <x:row r="36">
      <x:c r="A36" s="42" t="str">
        <x:v>DL-moex-101450</x:v>
      </x:c>
      <x:c r="B36" s="44" t="n">
        <x:v>46199</x:v>
      </x:c>
      <x:c r="C36" s="42" t="str">
        <x:v>Not disclosed</x:v>
      </x:c>
      <x:c r="D36" s="42" t="str">
        <x:v>MOEX disclosure</x:v>
      </x:c>
      <x:c r="E36" s="42" t="str">
        <x:v>public_web</x:v>
      </x:c>
      <x:c r="F36" s="42" t="str">
        <x:v>confirmed</x:v>
      </x:c>
      <x:c r="G36" s="42" t="str">
        <x:v>https://www.moex.com/n101450</x:v>
      </x:c>
      <x:c r="H36" s="44" t="n">
        <x:v>46199</x:v>
      </x:c>
      <x:c r="I36" s="42" t="str">
        <x:v>Дополнительные условия проведения торгов по выкупу облигаций серии 003Р-02 ООО "Концерн "РОССИУМ" 26 июня 2026 года</x:v>
      </x:c>
    </x:row>
    <x:row r="37">
      <x:c r="A37" s="42" t="str">
        <x:v>DL-bec65812ff9fcfae</x:v>
      </x:c>
      <x:c r="B37" s="44" t="n">
        <x:v>46197</x:v>
      </x:c>
      <x:c r="C37" s="42" t="str">
        <x:v>Selectel</x:v>
      </x:c>
      <x:c r="D37" s="42" t="str">
        <x:v>ComNews.ru</x:v>
      </x:c>
      <x:c r="E37" s="42" t="str">
        <x:v>public_web</x:v>
      </x:c>
      <x:c r="F37" s="42" t="str">
        <x:v>unverified</x:v>
      </x:c>
      <x:c r="G37" s="42" t="str">
        <x:v>https://www.comnews.ru/content/246003/2026-06-25/2026-w26/1008/selectel-razmestit-obligacii-5-mlrd-rub-dlya-refinansirovaniya-i-investiciy</x:v>
      </x:c>
      <x:c r="H37" s="44" t="n">
        <x:v>46197</x:v>
      </x:c>
      <x:c r="I37" s="42" t="str">
        <x:v>Selectel разместит облигации на 5 млрд руб.</x:v>
      </x:c>
    </x:row>
    <x:row r="38">
      <x:c r="A38" s="42" t="str">
        <x:v>DL-7a721642a53e0f1d</x:v>
      </x:c>
      <x:c r="B38" s="44" t="n">
        <x:v>46192</x:v>
      </x:c>
      <x:c r="C38" s="42" t="str">
        <x:v>Yandex</x:v>
      </x:c>
      <x:c r="D38" s="42" t="str">
        <x:v>Yandex Investor Relations</x:v>
      </x:c>
      <x:c r="E38" s="42" t="str">
        <x:v>public_web</x:v>
      </x:c>
      <x:c r="F38" s="42" t="str">
        <x:v>confirmed</x:v>
      </x:c>
      <x:c r="G38" s="42" t="str">
        <x:v>https://ir.yandex.ru/press-releases?year=2026&amp;id=19-06-2026-03</x:v>
      </x:c>
      <x:c r="H38" s="44" t="n">
        <x:v>46192</x:v>
      </x:c>
      <x:c r="I38" s="42" t="str">
        <x:v>Яндекс разместил два выпуска биржевых облигаций на общую сумму 60 млрд рублей</x:v>
      </x:c>
    </x:row>
    <x:row r="39">
      <x:c r="A39" s="42" t="str">
        <x:v>DL-9092ffd6a36a0a81</x:v>
      </x:c>
      <x:c r="B39" s="44" t="n">
        <x:v>46183</x:v>
      </x:c>
      <x:c r="C39" s="42" t="str">
        <x:v>Норникель</x:v>
      </x:c>
      <x:c r="D39" s="42" t="str">
        <x:v>Интерфакс</x:v>
      </x:c>
      <x:c r="E39" s="42" t="str">
        <x:v>public_web</x:v>
      </x:c>
      <x:c r="F39" s="42" t="str">
        <x:v>unverified</x:v>
      </x:c>
      <x:c r="G39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39" s="44" t="n">
        <x:v>46183</x:v>
      </x:c>
      <x:c r="I39" s="42" t="str">
        <x:v>"Норникель" зафиксировал объем размещения облигаций на уровне 3 млрд юаней - Интерфакс</x:v>
      </x:c>
    </x:row>
    <x:row r="40">
      <x:c r="A40" s="42" t="str">
        <x:v>DL-f71ff729dc9f5af4</x:v>
      </x:c>
      <x:c r="B40" s="44" t="n">
        <x:v>46181</x:v>
      </x:c>
      <x:c r="C40" s="42" t="str">
        <x:v>Yandex</x:v>
      </x:c>
      <x:c r="D40" s="42" t="str">
        <x:v>Финам</x:v>
      </x:c>
      <x:c r="E40" s="42" t="str">
        <x:v>public_web</x:v>
      </x:c>
      <x:c r="F40" s="42" t="str">
        <x:v>unverified</x:v>
      </x:c>
      <x:c r="G40" s="42" t="str">
        <x:v>https://www.finam.ru/publications/item/yandeks-vnov-vykhodit-na-dolgovoy-rynok-razbor-dvoynogo-razmeshcheniya-obligatsiy-20260608-1729/</x:v>
      </x:c>
      <x:c r="H40" s="44" t="n">
        <x:v>46181</x:v>
      </x:c>
      <x:c r="I40" s="42" t="str">
        <x:v>«Яндекс» вновь выходит на долговой рынок: разбор двойного размещения облигаций - Финам</x:v>
      </x:c>
    </x:row>
    <x:row r="41">
      <x:c r="A41" s="42" t="str">
        <x:v>DL-f71ff729dc9f5af4</x:v>
      </x:c>
      <x:c r="B41" s="44" t="n">
        <x:v>46181</x:v>
      </x:c>
      <x:c r="C41" s="42" t="str">
        <x:v>Yandex</x:v>
      </x:c>
      <x:c r="D41" s="42" t="str">
        <x:v>Финам</x:v>
      </x:c>
      <x:c r="E41" s="42" t="str">
        <x:v>archive_discovery</x:v>
      </x:c>
      <x:c r="F41" s="42" t="str">
        <x:v>unverified</x:v>
      </x:c>
      <x:c r="G41" s="42" t="str">
        <x:v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H41" s="44"/>
      <x:c r="I41" s="42" t="str">
        <x:v>«Яндекс» вновь выходит на долговой рынок: разбор двойного размещения облигаций - Финам</x:v>
      </x:c>
    </x:row>
    <x:row r="42">
      <x:c r="A42" s="42" t="str">
        <x:v>DL-c0e4b0469b5eb473</x:v>
      </x:c>
      <x:c r="B42" s="44" t="n">
        <x:v>46177</x:v>
      </x:c>
      <x:c r="C42" s="42" t="str">
        <x:v>Ozon</x:v>
      </x:c>
      <x:c r="D42" s="42" t="str">
        <x:v>БКС Экспресс</x:v>
      </x:c>
      <x:c r="E42" s="42" t="str">
        <x:v>public_web</x:v>
      </x:c>
      <x:c r="F42" s="42" t="str">
        <x:v>unverified</x:v>
      </x:c>
      <x:c r="G42" s="42" t="str">
        <x:v>https://bcs-express.ru/novosti-i-analitika/gref-oproverg-dogovorennost-sbera-o-pokupke-doli-v-ozone</x:v>
      </x:c>
      <x:c r="H42" s="44" t="n">
        <x:v>46177</x:v>
      </x:c>
      <x:c r="I42" s="42" t="str">
        <x:v>Греф опроверг договоренность Сбера о покупке доли в Озоне - БКС Экспресс</x:v>
      </x:c>
    </x:row>
    <x:row r="43">
      <x:c r="A43" s="42" t="str">
        <x:v>DL-c0e4b0469b5eb473</x:v>
      </x:c>
      <x:c r="B43" s="44" t="n">
        <x:v>46177</x:v>
      </x:c>
      <x:c r="C43" s="42" t="str">
        <x:v>Ozon</x:v>
      </x:c>
      <x:c r="D43" s="42" t="str">
        <x:v>Сибирское информационное агентство</x:v>
      </x:c>
      <x:c r="E43" s="42" t="str">
        <x:v>public_web</x:v>
      </x:c>
      <x:c r="F43" s="42" t="str">
        <x:v>unverified</x:v>
      </x:c>
      <x:c r="G43" s="42" t="str">
        <x:v>https://sia.ru/?section\=484\&amp;action\=show_news\&amp;id\=16828609</x:v>
      </x:c>
      <x:c r="H43" s="44" t="n">
        <x:v>46171</x:v>
      </x:c>
      <x:c r="I43" s="42" t="str">
        <x:v>Греф опроверг договоренность Сбера о покупке доли в Озоне - БКС Экспресс</x:v>
      </x:c>
    </x:row>
    <x:row r="44">
      <x:c r="A44" s="42" t="str">
        <x:v>DL-c0e4b0469b5eb473</x:v>
      </x:c>
      <x:c r="B44" s="44" t="n">
        <x:v>46177</x:v>
      </x:c>
      <x:c r="C44" s="42" t="str">
        <x:v>Ozon</x:v>
      </x:c>
      <x:c r="D44" s="42" t="str">
        <x:v>RB.ru</x:v>
      </x:c>
      <x:c r="E44" s="42" t="str">
        <x:v>public_web</x:v>
      </x:c>
      <x:c r="F44" s="42" t="str">
        <x:v>unverified</x:v>
      </x:c>
      <x:c r="G44" s="42" t="str">
        <x:v>https://rb.ru/news/sber-mozhet-kupit-akcii-v-ozon-na-30-mlrd-investkompaniya-afk-sistema-otricaet-informaciyu-o-prodazhe-doli/</x:v>
      </x:c>
      <x:c r="H44" s="44" t="n">
        <x:v>46170</x:v>
      </x:c>
      <x:c r="I44" s="42" t="str">
        <x:v>Греф опроверг договоренность Сбера о покупке доли в Озоне - БКС Экспресс</x:v>
      </x:c>
    </x:row>
    <x:row r="45">
      <x:c r="A45" s="42" t="str">
        <x:v>DL-c0e4b0469b5eb473</x:v>
      </x:c>
      <x:c r="B45" s="44" t="n">
        <x:v>46177</x:v>
      </x:c>
      <x:c r="C45" s="42" t="str">
        <x:v>Ozon</x:v>
      </x:c>
      <x:c r="D45" s="42" t="str">
        <x:v>Альфа-Банк</x:v>
      </x:c>
      <x:c r="E45" s="42" t="str">
        <x:v>public_web</x:v>
      </x:c>
      <x:c r="F45" s="42" t="str">
        <x:v>unverified</x:v>
      </x:c>
      <x:c r="G45" s="42" t="str">
        <x:v>https://alfabank.ru/alfa-investor/posts/t/2af58b47-265b-f111-91c6-0050569e1fd0/</x:v>
      </x:c>
      <x:c r="H45" s="44" t="n">
        <x:v>46170</x:v>
      </x:c>
      <x:c r="I45" s="42" t="str">
        <x:v>Греф опроверг договоренность Сбера о покупке доли в Озоне - БКС Экспресс</x:v>
      </x:c>
    </x:row>
    <x:row r="46">
      <x:c r="A46" s="42" t="str">
        <x:v>DL-c0e4b0469b5eb473</x:v>
      </x:c>
      <x:c r="B46" s="44" t="n">
        <x:v>46177</x:v>
      </x:c>
      <x:c r="C46" s="42" t="str">
        <x:v>Ozon</x:v>
      </x:c>
      <x:c r="D46" s="42" t="str">
        <x:v>Альфа-Банк</x:v>
      </x:c>
      <x:c r="E46" s="42" t="str">
        <x:v>public_web</x:v>
      </x:c>
      <x:c r="F46" s="42" t="str">
        <x:v>unverified</x:v>
      </x:c>
      <x:c r="G46" s="42" t="str">
        <x:v>https://alfabank.ru/alfa-investor/posts/t/06d3da91-dd5a-f111-91c6-0050569e1fd0/</x:v>
      </x:c>
      <x:c r="H46" s="44" t="n">
        <x:v>46170</x:v>
      </x:c>
      <x:c r="I46" s="42" t="str">
        <x:v>Греф опроверг договоренность Сбера о покупке доли в Озоне - БКС Экспресс</x:v>
      </x:c>
    </x:row>
    <x:row r="47">
      <x:c r="A47" s="42" t="str">
        <x:v>DL-c0e4b0469b5eb473</x:v>
      </x:c>
      <x:c r="B47" s="44" t="n">
        <x:v>46177</x:v>
      </x:c>
      <x:c r="C47" s="42" t="str">
        <x:v>Ozon</x:v>
      </x:c>
      <x:c r="D47" s="42" t="str">
        <x:v>Финам</x:v>
      </x:c>
      <x:c r="E47" s="42" t="str">
        <x:v>public_web</x:v>
      </x:c>
      <x:c r="F47" s="42" t="str">
        <x:v>unverified</x:v>
      </x:c>
      <x:c r="G47" s="42" t="str">
        <x:v>https://www.finam.ru/publications/item/aktsii-afk-sistema-podskochili-na-7-na-soobshcheniyakh-o-pokupke-doli-ozona-strukturami-sbera-20260528-1910/</x:v>
      </x:c>
      <x:c r="H47" s="44" t="n">
        <x:v>46170</x:v>
      </x:c>
      <x:c r="I47" s="42" t="str">
        <x:v>Греф опроверг договоренность Сбера о покупке доли в Озоне - БКС Экспресс</x:v>
      </x:c>
    </x:row>
    <x:row r="48">
      <x:c r="A48" s="42" t="str">
        <x:v>DL-c0e4b0469b5eb473</x:v>
      </x:c>
      <x:c r="B48" s="44" t="n">
        <x:v>46177</x:v>
      </x:c>
      <x:c r="C48" s="42" t="str">
        <x:v>Ozon</x:v>
      </x:c>
      <x:c r="D48" s="42" t="str">
        <x:v>Интерфакс</x:v>
      </x:c>
      <x:c r="E48" s="42" t="str">
        <x:v>public_web</x:v>
      </x:c>
      <x:c r="F48" s="42" t="str">
        <x:v>unverified</x:v>
      </x:c>
      <x:c r="G48" s="42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48" s="44" t="n">
        <x:v>46170</x:v>
      </x:c>
      <x:c r="I48" s="42" t="str">
        <x:v>Греф опроверг договоренность Сбера о покупке доли в Озоне - БКС Экспресс</x:v>
      </x:c>
    </x:row>
    <x:row r="49">
      <x:c r="A49" s="42" t="str">
        <x:v>DL-c0e4b0469b5eb473</x:v>
      </x:c>
      <x:c r="B49" s="44" t="n">
        <x:v>46177</x:v>
      </x:c>
      <x:c r="C49" s="42" t="str">
        <x:v>Ozon</x:v>
      </x:c>
      <x:c r="D49" s="42" t="str">
        <x:v>Сибирское информационное агентство</x:v>
      </x:c>
      <x:c r="E49" s="42" t="str">
        <x:v>archive_discovery</x:v>
      </x:c>
      <x:c r="F49" s="42" t="str">
        <x:v>unverified</x:v>
      </x:c>
      <x:c r="G49" s="42" t="str">
        <x:v>https://news.google.com/rss/articles/CBMiZ0FVX3lxTE9USzZyMG9pZVA0SGstbWJZRGRwOGxWLTNrc0Vva0xDU1lJV3ZlUDRGTURxZXd0LVVUZXFELWdzM2tVVHB3MHlHNjQzSDFyN3JnbHRRYlFnQnJjX1pqMzB5V3dGTnBUcGc?oc=5</x:v>
      </x:c>
      <x:c r="H49" s="44"/>
      <x:c r="I49" s="42" t="str">
        <x:v>Греф опроверг договоренность Сбера о покупке доли в Озоне - БКС Экспресс</x:v>
      </x:c>
    </x:row>
    <x:row r="50">
      <x:c r="A50" s="42" t="str">
        <x:v>DL-c0e4b0469b5eb473</x:v>
      </x:c>
      <x:c r="B50" s="44" t="n">
        <x:v>46177</x:v>
      </x:c>
      <x:c r="C50" s="42" t="str">
        <x:v>Ozon</x:v>
      </x:c>
      <x:c r="D50" s="42" t="str">
        <x:v>Альфа-Банк</x:v>
      </x:c>
      <x:c r="E50" s="42" t="str">
        <x:v>archive_discovery</x:v>
      </x:c>
      <x:c r="F50" s="42" t="str">
        <x:v>unverified</x:v>
      </x:c>
      <x:c r="G50" s="42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50" s="44"/>
      <x:c r="I50" s="42" t="str">
        <x:v>Греф опроверг договоренность Сбера о покупке доли в Озоне - БКС Экспресс</x:v>
      </x:c>
    </x:row>
    <x:row r="51">
      <x:c r="A51" s="42" t="str">
        <x:v>DL-c0e4b0469b5eb473</x:v>
      </x:c>
      <x:c r="B51" s="44" t="n">
        <x:v>46177</x:v>
      </x:c>
      <x:c r="C51" s="42" t="str">
        <x:v>Ozon</x:v>
      </x:c>
      <x:c r="D51" s="42" t="str">
        <x:v>Финам</x:v>
      </x:c>
      <x:c r="E51" s="42" t="str">
        <x:v>archive_discovery</x:v>
      </x:c>
      <x:c r="F51" s="42" t="str">
        <x:v>unverified</x:v>
      </x:c>
      <x:c r="G51" s="42" t="str">
        <x:v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H51" s="44"/>
      <x:c r="I51" s="42" t="str">
        <x:v>Греф опроверг договоренность Сбера о покупке доли в Озоне - БКС Экспресс</x:v>
      </x:c>
    </x:row>
    <x:row r="52">
      <x:c r="A52" s="42" t="str">
        <x:v>DL-5eba3b27a4e84dd3</x:v>
      </x:c>
      <x:c r="B52" s="44" t="n">
        <x:v>46175</x:v>
      </x:c>
      <x:c r="C52" s="42" t="str">
        <x:v>Авто.ру</x:v>
      </x:c>
      <x:c r="D52" s="42" t="str">
        <x:v>Yandex Investor Relations</x:v>
      </x:c>
      <x:c r="E52" s="42" t="str">
        <x:v>public_web</x:v>
      </x:c>
      <x:c r="F52" s="42" t="str">
        <x:v>confirmed</x:v>
      </x:c>
      <x:c r="G52" s="42" t="str">
        <x:v>https://ir.yandex.ru/press-releases?year=2026&amp;id=02-06-2026-04</x:v>
      </x:c>
      <x:c r="H52" s="44" t="n">
        <x:v>46175</x:v>
      </x:c>
      <x:c r="I52" s="42" t="str">
        <x:v>Яндекс закрыл сделку по продаже Авто.ру</x:v>
      </x:c>
    </x:row>
    <x:row r="53">
      <x:c r="A53" s="42" t="str">
        <x:v>DL-5eba3b27a4e84dd3</x:v>
      </x:c>
      <x:c r="B53" s="44" t="n">
        <x:v>46175</x:v>
      </x:c>
      <x:c r="C53" s="42" t="str">
        <x:v>Авто.ру</x:v>
      </x:c>
      <x:c r="D53" s="42" t="str">
        <x:v>БКС Экспресс</x:v>
      </x:c>
      <x:c r="E53" s="42" t="str">
        <x:v>public_web</x:v>
      </x:c>
      <x:c r="F53" s="42" t="str">
        <x:v>unverified</x:v>
      </x:c>
      <x:c r="G53" s="42" t="str">
        <x:v>https://bcs-express.ru/novosti-i-analitika/t-tekhnologii-zakryli-sdelku-po-pokupke-avto-ru-u-iandeksa</x:v>
      </x:c>
      <x:c r="H53" s="44" t="n">
        <x:v>46176</x:v>
      </x:c>
      <x:c r="I53" s="42" t="str">
        <x:v>Яндекс закрыл сделку по продаже Авто.ру</x:v>
      </x:c>
    </x:row>
    <x:row r="54">
      <x:c r="A54" s="42" t="str">
        <x:v>DL-5eba3b27a4e84dd3</x:v>
      </x:c>
      <x:c r="B54" s="44" t="n">
        <x:v>46175</x:v>
      </x:c>
      <x:c r="C54" s="42" t="str">
        <x:v>Авто.ру</x:v>
      </x:c>
      <x:c r="D54" s="42" t="str">
        <x:v>Финам</x:v>
      </x:c>
      <x:c r="E54" s="42" t="str">
        <x:v>public_web</x:v>
      </x:c>
      <x:c r="F54" s="42" t="str">
        <x:v>unverified</x:v>
      </x:c>
      <x:c r="G54" s="42" t="str">
        <x:v>https://www.finam.ru/publications/item/yandeks-prodal-avtoru-t-tekhnologiyam-20260602-1802/</x:v>
      </x:c>
      <x:c r="H54" s="44" t="n">
        <x:v>46175</x:v>
      </x:c>
      <x:c r="I54" s="42" t="str">
        <x:v>Яндекс закрыл сделку по продаже Авто.ру</x:v>
      </x:c>
    </x:row>
    <x:row r="55">
      <x:c r="A55" s="42" t="str">
        <x:v>DL-5eba3b27a4e84dd3</x:v>
      </x:c>
      <x:c r="B55" s="44" t="n">
        <x:v>46175</x:v>
      </x:c>
      <x:c r="C55" s="42" t="str">
        <x:v>Авто.ру</x:v>
      </x:c>
      <x:c r="D55" s="42" t="str">
        <x:v>БКС Экспресс</x:v>
      </x:c>
      <x:c r="E55" s="42" t="str">
        <x:v>archive_discovery</x:v>
      </x:c>
      <x:c r="F55" s="42" t="str">
        <x:v>unverified</x:v>
      </x:c>
      <x:c r="G55" s="42" t="str">
        <x:v>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H55" s="44"/>
      <x:c r="I55" s="42" t="str">
        <x:v>Яндекс закрыл сделку по продаже Авто.ру</x:v>
      </x:c>
    </x:row>
    <x:row r="56">
      <x:c r="A56" s="42" t="str">
        <x:v>DL-5eba3b27a4e84dd3</x:v>
      </x:c>
      <x:c r="B56" s="44" t="n">
        <x:v>46175</x:v>
      </x:c>
      <x:c r="C56" s="42" t="str">
        <x:v>Авто.ру</x:v>
      </x:c>
      <x:c r="D56" s="42" t="str">
        <x:v>Финам</x:v>
      </x:c>
      <x:c r="E56" s="42" t="str">
        <x:v>archive_discovery</x:v>
      </x:c>
      <x:c r="F56" s="42" t="str">
        <x:v>unverified</x:v>
      </x:c>
      <x:c r="G56" s="42" t="str">
        <x:v>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H56" s="44"/>
      <x:c r="I56" s="42" t="str">
        <x:v>Яндекс закрыл сделку по продаже Авто.ру</x:v>
      </x:c>
    </x:row>
    <x:row r="57">
      <x:c r="A57" s="42" t="str">
        <x:v>DL-e08040bba3b952c1</x:v>
      </x:c>
      <x:c r="B57" s="44" t="n">
        <x:v>46170</x:v>
      </x:c>
      <x:c r="C57" s="42" t="str">
        <x:v>Островок</x:v>
      </x:c>
      <x:c r="D57" s="42" t="str">
        <x:v>Финам</x:v>
      </x:c>
      <x:c r="E57" s="42" t="str">
        <x:v>public_web</x:v>
      </x:c>
      <x:c r="F57" s="42" t="str">
        <x:v>unverified</x:v>
      </x:c>
      <x:c r="G57" s="42" t="str">
        <x:v>https://www.finam.ru/publications/item/yandeks-stal-osnovnym-pretendentom-na-pokupku-ostrovka-20260528-0928/</x:v>
      </x:c>
      <x:c r="H57" s="44" t="n">
        <x:v>46170</x:v>
      </x:c>
      <x:c r="I57" s="42" t="str">
        <x:v>"Яндекс" стал основным претендентом на покупку "Островка" - Финам</x:v>
      </x:c>
    </x:row>
    <x:row r="58">
      <x:c r="A58" s="42" t="str">
        <x:v>DL-e08040bba3b952c1</x:v>
      </x:c>
      <x:c r="B58" s="44" t="n">
        <x:v>46170</x:v>
      </x:c>
      <x:c r="C58" s="42" t="str">
        <x:v>Островок</x:v>
      </x:c>
      <x:c r="D58" s="42" t="str">
        <x:v>Финам</x:v>
      </x:c>
      <x:c r="E58" s="42" t="str">
        <x:v>archive_discovery</x:v>
      </x:c>
      <x:c r="F58" s="42" t="str">
        <x:v>unverified</x:v>
      </x:c>
      <x:c r="G58" s="42" t="str">
        <x:v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H58" s="44"/>
      <x:c r="I58" s="42" t="str">
        <x:v>"Яндекс" стал основным претендентом на покупку "Островка" - Финам</x:v>
      </x:c>
    </x:row>
    <x:row r="59">
      <x:c r="A59" s="42" t="str">
        <x:v>DL-54c26c1e05d520bd</x:v>
      </x:c>
      <x:c r="B59" s="44" t="n">
        <x:v>46167</x:v>
      </x:c>
      <x:c r="C59" s="42" t="str">
        <x:v>Not disclosed</x:v>
      </x:c>
      <x:c r="D59" s="42" t="str">
        <x:v>Финам</x:v>
      </x:c>
      <x:c r="E59" s="42" t="str">
        <x:v>public_web</x:v>
      </x:c>
      <x:c r="F59" s="42" t="str">
        <x:v>unverified</x:v>
      </x:c>
      <x:c r="G59" s="42" t="str">
        <x:v>https://www.finam.ru/publications/item/posledniy-den-pokupki-aktsiy-ozona-pod-dividendy-25-maya-20260525-0652/</x:v>
      </x:c>
      <x:c r="H59" s="44" t="n">
        <x:v>46167</x:v>
      </x:c>
      <x:c r="I59" s="42" t="str">
        <x:v>25.05.26 Последний день покупки акций “Озона” под дивиденды - 25 мая - Финам</x:v>
      </x:c>
    </x:row>
    <x:row r="60">
      <x:c r="A60" s="42" t="str">
        <x:v>DL-54c26c1e05d520bd</x:v>
      </x:c>
      <x:c r="B60" s="44" t="n">
        <x:v>46167</x:v>
      </x:c>
      <x:c r="C60" s="42" t="str">
        <x:v>Not disclosed</x:v>
      </x:c>
      <x:c r="D60" s="42" t="str">
        <x:v>Финам</x:v>
      </x:c>
      <x:c r="E60" s="42" t="str">
        <x:v>archive_discovery</x:v>
      </x:c>
      <x:c r="F60" s="42" t="str">
        <x:v>unverified</x:v>
      </x:c>
      <x:c r="G60" s="42" t="str">
        <x:v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H60" s="44"/>
      <x:c r="I60" s="42" t="str">
        <x:v>25.05.26 Последний день покупки акций “Озона” под дивиденды - 25 мая - Финам</x:v>
      </x:c>
    </x:row>
    <x:row r="61">
      <x:c r="A61" s="42" t="str">
        <x:v>DL-71b6decbb78f4293</x:v>
      </x:c>
      <x:c r="B61" s="44" t="n">
        <x:v>46162</x:v>
      </x:c>
      <x:c r="C61" s="42" t="str">
        <x:v>Ozon</x:v>
      </x:c>
      <x:c r="D61" s="42" t="str">
        <x:v>БКС Экспресс</x:v>
      </x:c>
      <x:c r="E61" s="42" t="str">
        <x:v>public_web</x:v>
      </x:c>
      <x:c r="F61" s="42" t="str">
        <x:v>unverified</x:v>
      </x:c>
      <x:c r="G61" s="42" t="str">
        <x:v>https://bcs-express.ru/novosti-i-analitika/aktsionery-ozon-utverdili-final-nye-dividendy-za-2025</x:v>
      </x:c>
      <x:c r="H61" s="44" t="n">
        <x:v>46162</x:v>
      </x:c>
      <x:c r="I61" s="42" t="str">
        <x:v>Акционеры Озона утвердили финальные дивиденды за 2025 - БКС Экспресс</x:v>
      </x:c>
    </x:row>
    <x:row r="62">
      <x:c r="A62" s="42" t="str">
        <x:v>DL-38b5154e2b53df8c</x:v>
      </x:c>
      <x:c r="B62" s="44" t="n">
        <x:v>46157</x:v>
      </x:c>
      <x:c r="C62" s="42" t="str">
        <x:v>Ozon</x:v>
      </x:c>
      <x:c r="D62" s="42" t="str">
        <x:v>Финам</x:v>
      </x:c>
      <x:c r="E62" s="42" t="str">
        <x:v>public_web</x:v>
      </x:c>
      <x:c r="F62" s="42" t="str">
        <x:v>unverified</x:v>
      </x:c>
      <x:c r="G62" s="42" t="str">
        <x:v>https://www.finam.ru/publications/item/otchetnosti-zaymera-bsp-i-sovkombanka-dividendnyy-vopros-u-ozona-i-md-medikal-osnovnye-sobytiya-15-maya-20260515-0900/</x:v>
      </x:c>
      <x:c r="H62" s="44" t="n">
        <x:v>46157</x:v>
      </x:c>
      <x:c r="I62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63">
      <x:c r="A63" s="42" t="str">
        <x:v>DL-38b5154e2b53df8c</x:v>
      </x:c>
      <x:c r="B63" s="44" t="n">
        <x:v>46157</x:v>
      </x:c>
      <x:c r="C63" s="42" t="str">
        <x:v>Ozon</x:v>
      </x:c>
      <x:c r="D63" s="42" t="str">
        <x:v>Финам</x:v>
      </x:c>
      <x:c r="E63" s="42" t="str">
        <x:v>archive_discovery</x:v>
      </x:c>
      <x:c r="F63" s="42" t="str">
        <x:v>unverified</x:v>
      </x:c>
      <x:c r="G63" s="42" t="str">
        <x:v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H63" s="44"/>
      <x:c r="I63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64">
      <x:c r="A64" s="42" t="str">
        <x:v>DL-32f044efd41bc454</x:v>
      </x:c>
      <x:c r="B64" s="44" t="n">
        <x:v>46157</x:v>
      </x:c>
      <x:c r="C64" s="42" t="str">
        <x:v>Not disclosed</x:v>
      </x:c>
      <x:c r="D64" s="42" t="str">
        <x:v>Интерфакс</x:v>
      </x:c>
      <x:c r="E64" s="42" t="str">
        <x:v>public_web</x:v>
      </x:c>
      <x:c r="F64" s="42" t="str">
        <x:v>unverified</x:v>
      </x:c>
      <x:c r="G64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64" s="44" t="n">
        <x:v>46157</x:v>
      </x:c>
      <x:c r="I64" s="42" t="str">
        <x:v>Трамп в I квартале совершал сделки с акциями Nvidia и Boeing - Интерфакс</x:v>
      </x:c>
    </x:row>
    <x:row r="65">
      <x:c r="A65" s="42" t="str">
        <x:v>DL-71608263fecb5e53</x:v>
      </x:c>
      <x:c r="B65" s="44" t="n">
        <x:v>46150</x:v>
      </x:c>
      <x:c r="C65" s="42" t="str">
        <x:v>Делимобиль</x:v>
      </x:c>
      <x:c r="D65" s="42" t="str">
        <x:v>Интерфакс</x:v>
      </x:c>
      <x:c r="E65" s="42" t="str">
        <x:v>public_web</x:v>
      </x:c>
      <x:c r="F65" s="42" t="str">
        <x:v>unverified</x:v>
      </x:c>
      <x:c r="G65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65" s="44" t="n">
        <x:v>46150</x:v>
      </x:c>
      <x:c r="I65" s="42" t="str">
        <x:v>"Делимобиль" перечислил в НРД средства для погашения выпуска облигаций на 1,9 млрд рублей - Интерфакс</x:v>
      </x:c>
    </x:row>
    <x:row r="66">
      <x:c r="A66" s="42" t="str">
        <x:v>DL-2848bdd8b067faa2</x:v>
      </x:c>
      <x:c r="B66" s="44" t="n">
        <x:v>46147</x:v>
      </x:c>
      <x:c r="C66" s="42" t="str">
        <x:v>Yandex</x:v>
      </x:c>
      <x:c r="D66" s="42" t="str">
        <x:v>БКС Экспресс</x:v>
      </x:c>
      <x:c r="E66" s="42" t="str">
        <x:v>public_web</x:v>
      </x:c>
      <x:c r="F66" s="42" t="str">
        <x:v>unverified</x:v>
      </x:c>
      <x:c r="G66" s="42" t="str">
        <x:v>https://bcs-express.ru/novosti-i-analitika/iandeks-odobril-vykup-aktsii-na-50-mlrd-rublei</x:v>
      </x:c>
      <x:c r="H66" s="44" t="n">
        <x:v>46147</x:v>
      </x:c>
      <x:c r="I66" s="42" t="str">
        <x:v>Яндекс одобрил выкуп акций на 50 млрд рублей - БКС Экспресс</x:v>
      </x:c>
    </x:row>
    <x:row r="67">
      <x:c r="A67" s="42" t="str">
        <x:v>DL-2848bdd8b067faa2</x:v>
      </x:c>
      <x:c r="B67" s="44" t="n">
        <x:v>46147</x:v>
      </x:c>
      <x:c r="C67" s="42" t="str">
        <x:v>Yandex</x:v>
      </x:c>
      <x:c r="D67" s="42" t="str">
        <x:v>БКС Экспресс</x:v>
      </x:c>
      <x:c r="E67" s="42" t="str">
        <x:v>archive_discovery</x:v>
      </x:c>
      <x:c r="F67" s="42" t="str">
        <x:v>unverified</x:v>
      </x:c>
      <x:c r="G67" s="42" t="str">
        <x:v>https://news.google.com/rss/articles/CBMikwFBVV95cUxPbkRNMVpoTFN4cXlrOWRya3A4SW1Dd09IUHIzMUw3emMzY1hZckpPRWtMclI2aTllZTRQTlRwUmNGNVp4X1hPV041elJSWGhtVS1kM0VGMFpWdmZIcDRmTS04MjBSb3FoVG5xZWdhY0REZkxLMTMxTE1PeF92VW5SRkxDYVNrVGVuNVFTSlRfaFFFeWc?oc=5</x:v>
      </x:c>
      <x:c r="H67" s="44"/>
      <x:c r="I67" s="42" t="str">
        <x:v>Яндекс одобрил выкуп акций на 50 млрд рублей - БКС Экспресс</x:v>
      </x:c>
    </x:row>
    <x:row r="68">
      <x:c r="A68" s="42" t="str">
        <x:v>DL-3d4a31cc3b7936d0</x:v>
      </x:c>
      <x:c r="B68" s="44" t="n">
        <x:v>46146</x:v>
      </x:c>
      <x:c r="C68" s="42" t="str">
        <x:v>Yandex</x:v>
      </x:c>
      <x:c r="D68" s="42" t="str">
        <x:v>SberCIB</x:v>
      </x:c>
      <x:c r="E68" s="42" t="str">
        <x:v>public_web</x:v>
      </x:c>
      <x:c r="F68" s="42" t="str">
        <x:v>unverified</x:v>
      </x:c>
      <x:c r="G68" s="42" t="str">
        <x:v>https://sbercib.ru/publication/rezultati-ozon-dom-rf-dividendi-yandeksa-i-tatnefti-i-drugie-novosti-nedeli</x:v>
      </x:c>
      <x:c r="H68" s="44" t="n">
        <x:v>46146</x:v>
      </x:c>
      <x:c r="I68" s="42" t="str">
        <x:v>Результаты Ozon, ДОМ.</x:v>
      </x:c>
    </x:row>
    <x:row r="69">
      <x:c r="A69" s="42" t="str">
        <x:v>DL-3d4a31cc3b7936d0</x:v>
      </x:c>
      <x:c r="B69" s="44" t="n">
        <x:v>46146</x:v>
      </x:c>
      <x:c r="C69" s="42" t="str">
        <x:v>Yandex</x:v>
      </x:c>
      <x:c r="D69" s="42" t="str">
        <x:v>SberCIB</x:v>
      </x:c>
      <x:c r="E69" s="42" t="str">
        <x:v>archive_discovery</x:v>
      </x:c>
      <x:c r="F69" s="42" t="str">
        <x:v>unverified</x:v>
      </x:c>
      <x:c r="G69" s="42" t="str">
        <x:v>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H69" s="44"/>
      <x:c r="I69" s="42" t="str">
        <x:v>Результаты Ozon, ДОМ.</x:v>
      </x:c>
    </x:row>
    <x:row r="70">
      <x:c r="A70" s="42" t="str">
        <x:v>DL-6bc0569f7ac374fe</x:v>
      </x:c>
      <x:c r="B70" s="44" t="n">
        <x:v>46139</x:v>
      </x:c>
      <x:c r="C70" s="42" t="str">
        <x:v>Not disclosed</x:v>
      </x:c>
      <x:c r="D70" s="42" t="str">
        <x:v>Ведомости</x:v>
      </x:c>
      <x:c r="E70" s="42" t="str">
        <x:v>public_web</x:v>
      </x:c>
      <x:c r="F70" s="42" t="str">
        <x:v>unverified</x:v>
      </x:c>
      <x:c r="G70" s="42" t="str">
        <x:v>https://www.vedomosti.ru/finance/news/2026/04/27/1193355-putin-isklyuchil</x:v>
      </x:c>
      <x:c r="H70" s="44" t="n">
        <x:v>46139</x:v>
      </x:c>
      <x:c r="I70" s="42" t="str">
        <x:v>Путин исключил «Озон банк» из списка с запретом на сделки с акциями и долями - Ведомости</x:v>
      </x:c>
    </x:row>
    <x:row r="71">
      <x:c r="A71" s="42" t="str">
        <x:v>DL-6bc0569f7ac374fe</x:v>
      </x:c>
      <x:c r="B71" s="44" t="n">
        <x:v>46139</x:v>
      </x:c>
      <x:c r="C71" s="42" t="str">
        <x:v>Not disclosed</x:v>
      </x:c>
      <x:c r="D71" s="42" t="str">
        <x:v>Ведомости</x:v>
      </x:c>
      <x:c r="E71" s="42" t="str">
        <x:v>archive_discovery</x:v>
      </x:c>
      <x:c r="F71" s="42" t="str">
        <x:v>unverified</x:v>
      </x:c>
      <x:c r="G71" s="42" t="str">
        <x:v>https://news.google.com/rss/articles/CBMifkFVX3lxTE5wcVN1bk9QeWE3N3kxMkdGdndraERVOGhyUndZcTkwSVVWdlhXUkVldXUtRWR5QTlCR3owOHN1QzFPZVVDR0JWMGkweTM2ekRobml3MzJqT3ZyTGFCSTZtTk0yZ3FxOG52ZjA3c203bEJ4UGVIN18xQUJxenBLQQ?oc=5</x:v>
      </x:c>
      <x:c r="H71" s="44"/>
      <x:c r="I71" s="42" t="str">
        <x:v>Путин исключил «Озон банк» из списка с запретом на сделки с акциями и долями - Ведомости</x:v>
      </x:c>
    </x:row>
    <x:row r="72">
      <x:c r="A72" s="42" t="str">
        <x:v>DL-cc671fa6b14f8f28</x:v>
      </x:c>
      <x:c r="B72" s="44" t="n">
        <x:v>46139</x:v>
      </x:c>
      <x:c r="C72" s="42" t="str">
        <x:v>Not disclosed</x:v>
      </x:c>
      <x:c r="D72" s="42" t="str">
        <x:v>БКС Экспресс</x:v>
      </x:c>
      <x:c r="E72" s="42" t="str">
        <x:v>public_web</x:v>
      </x:c>
      <x:c r="F72" s="42" t="str">
        <x:v>unverified</x:v>
      </x:c>
      <x:c r="G72" s="42" t="str">
        <x:v>https://bcs-express.ru/novosti-i-analitika/ozon-bank-iskliuchen-iz-perechnia-bankov-s-aktsiiami-kotorykh-zapreshcheny-sdelki</x:v>
      </x:c>
      <x:c r="H72" s="44" t="n">
        <x:v>46139</x:v>
      </x:c>
      <x:c r="I72" s="42" t="str">
        <x:v>Ozon Банк исключен из перечня банков, с акциями которых запрещены сделки - БКС Экспресс</x:v>
      </x:c>
    </x:row>
    <x:row r="73">
      <x:c r="A73" s="42" t="str">
        <x:v>DL-cc671fa6b14f8f28</x:v>
      </x:c>
      <x:c r="B73" s="44" t="n">
        <x:v>46139</x:v>
      </x:c>
      <x:c r="C73" s="42" t="str">
        <x:v>Not disclosed</x:v>
      </x:c>
      <x:c r="D73" s="42" t="str">
        <x:v>БКС Экспресс</x:v>
      </x:c>
      <x:c r="E73" s="42" t="str">
        <x:v>archive_discovery</x:v>
      </x:c>
      <x:c r="F73" s="42" t="str">
        <x:v>unverified</x:v>
      </x:c>
      <x:c r="G73" s="42" t="str">
        <x:v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H73" s="44"/>
      <x:c r="I73" s="42" t="str">
        <x:v>Ozon Банк исключен из перечня банков, с акциями которых запрещены сделки - БКС Экспресс</x:v>
      </x:c>
    </x:row>
    <x:row r="74">
      <x:c r="A74" s="42" t="str">
        <x:v>DL-2d1ef3023240f32a</x:v>
      </x:c>
      <x:c r="B74" s="44" t="n">
        <x:v>46139</x:v>
      </x:c>
      <x:c r="C74" s="42" t="str">
        <x:v>Not disclosed</x:v>
      </x:c>
      <x:c r="D74" s="42" t="str">
        <x:v>Главпортал</x:v>
      </x:c>
      <x:c r="E74" s="42" t="str">
        <x:v>public_web</x:v>
      </x:c>
      <x:c r="F74" s="42" t="str">
        <x:v>unverified</x:v>
      </x:c>
      <x:c r="G74" s="42" t="str">
        <x:v>https://glavportal.com/news/putin-razreshil-sdelki-s-akciyami-ozon-banka</x:v>
      </x:c>
      <x:c r="H74" s="44" t="n">
        <x:v>46139</x:v>
      </x:c>
      <x:c r="I74" s="42" t="str">
        <x:v>Путин разрешил сделки с акциями «Озон банка» - Главпортал</x:v>
      </x:c>
    </x:row>
    <x:row r="75">
      <x:c r="A75" s="42" t="str">
        <x:v>DL-2d1ef3023240f32a</x:v>
      </x:c>
      <x:c r="B75" s="44" t="n">
        <x:v>46139</x:v>
      </x:c>
      <x:c r="C75" s="42" t="str">
        <x:v>Not disclosed</x:v>
      </x:c>
      <x:c r="D75" s="42" t="str">
        <x:v>InvestFuture</x:v>
      </x:c>
      <x:c r="E75" s="42" t="str">
        <x:v>public_web</x:v>
      </x:c>
      <x:c r="F75" s="42" t="str">
        <x:v>unverified</x:v>
      </x:c>
      <x:c r="G75" s="42" t="str">
        <x:v>https://investfuture.ru/articles/putin-snyal-zapret-na-sdelki-s-aktsiyami-ozon-banka-v-rossii-1178931397</x:v>
      </x:c>
      <x:c r="H75" s="44" t="n">
        <x:v>46139</x:v>
      </x:c>
      <x:c r="I75" s="42" t="str">
        <x:v>Путин разрешил сделки с акциями «Озон банка» - Главпортал</x:v>
      </x:c>
    </x:row>
    <x:row r="76">
      <x:c r="A76" s="42" t="str">
        <x:v>DL-2d1ef3023240f32a</x:v>
      </x:c>
      <x:c r="B76" s="44" t="n">
        <x:v>46139</x:v>
      </x:c>
      <x:c r="C76" s="42" t="str">
        <x:v>Not disclosed</x:v>
      </x:c>
      <x:c r="D76" s="42" t="str">
        <x:v>InvestFuture</x:v>
      </x:c>
      <x:c r="E76" s="42" t="str">
        <x:v>archive_discovery</x:v>
      </x:c>
      <x:c r="F76" s="42" t="str">
        <x:v>unverified</x:v>
      </x:c>
      <x:c r="G76" s="42" t="str">
        <x:v>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H76" s="44"/>
      <x:c r="I76" s="42" t="str">
        <x:v>Путин разрешил сделки с акциями «Озон банка» - Главпортал</x:v>
      </x:c>
    </x:row>
    <x:row r="77">
      <x:c r="A77" s="42" t="str">
        <x:v>DL-dd21f961f579e55a</x:v>
      </x:c>
      <x:c r="B77" s="44" t="n">
        <x:v>46139</x:v>
      </x:c>
      <x:c r="C77" s="42" t="str">
        <x:v>Not disclosed</x:v>
      </x:c>
      <x:c r="D77" s="42" t="str">
        <x:v>Реальное время</x:v>
      </x:c>
      <x:c r="E77" s="42" t="str">
        <x:v>public_web</x:v>
      </x:c>
      <x:c r="F77" s="42" t="str">
        <x:v>unverified</x:v>
      </x:c>
      <x:c r="G77" s="42" t="str">
        <x:v>https://realnoevremya.ru/news/394463-s-ozon-banka-snyali-ogranicheniya-na-sdelki-s-akciyami-rasporyazhenie-putina</x:v>
      </x:c>
      <x:c r="H77" s="44" t="n">
        <x:v>46139</x:v>
      </x:c>
      <x:c r="I77" s="42" t="str">
        <x:v>С «Озон банка» сняли ограничения на сделки с акциями — распоряжение Путина - Реальное время</x:v>
      </x:c>
    </x:row>
    <x:row r="78">
      <x:c r="A78" s="42" t="str">
        <x:v>DL-dd21f961f579e55a</x:v>
      </x:c>
      <x:c r="B78" s="44" t="n">
        <x:v>46139</x:v>
      </x:c>
      <x:c r="C78" s="42" t="str">
        <x:v>Not disclosed</x:v>
      </x:c>
      <x:c r="D78" s="42" t="str">
        <x:v>Реальное время</x:v>
      </x:c>
      <x:c r="E78" s="42" t="str">
        <x:v>archive_discovery</x:v>
      </x:c>
      <x:c r="F78" s="42" t="str">
        <x:v>unverified</x:v>
      </x:c>
      <x:c r="G78" s="42" t="str">
        <x:v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H78" s="44"/>
      <x:c r="I78" s="42" t="str">
        <x:v>С «Озон банка» сняли ограничения на сделки с акциями — распоряжение Путина - Реальное время</x:v>
      </x:c>
    </x:row>
    <x:row r="79">
      <x:c r="A79" s="42" t="str">
        <x:v>DL-0bceebeca9933dc3</x:v>
      </x:c>
      <x:c r="B79" s="44" t="n">
        <x:v>46132</x:v>
      </x:c>
      <x:c r="C79" s="42" t="str">
        <x:v>Ozon</x:v>
      </x:c>
      <x:c r="D79" s="42" t="str">
        <x:v>Альфа-Банк</x:v>
      </x:c>
      <x:c r="E79" s="42" t="str">
        <x:v>public_web</x:v>
      </x:c>
      <x:c r="F79" s="42" t="str">
        <x:v>unverified</x:v>
      </x:c>
      <x:c r="G79" s="42" t="str">
        <x:v>https://alfabank.ru/alfa-investor/t/obligatsii-ozona-zarabotay-na-marketpleyse/</x:v>
      </x:c>
      <x:c r="H79" s="44" t="n">
        <x:v>46132</x:v>
      </x:c>
      <x:c r="I79" s="42" t="str">
        <x:v>Облигации Озона: заработай на маркетплейсе - Альфа-Банк</x:v>
      </x:c>
    </x:row>
    <x:row r="80">
      <x:c r="A80" s="42" t="str">
        <x:v>DL-0bceebeca9933dc3</x:v>
      </x:c>
      <x:c r="B80" s="44" t="n">
        <x:v>46132</x:v>
      </x:c>
      <x:c r="C80" s="42" t="str">
        <x:v>Ozon</x:v>
      </x:c>
      <x:c r="D80" s="42" t="str">
        <x:v>Альфа-Банк</x:v>
      </x:c>
      <x:c r="E80" s="42" t="str">
        <x:v>archive_discovery</x:v>
      </x:c>
      <x:c r="F80" s="42" t="str">
        <x:v>unverified</x:v>
      </x:c>
      <x:c r="G80" s="42" t="str">
        <x:v>https://news.google.com/rss/articles/CBMihgFBVV95cUxOR21Vd1RCOGpSRktSR2g3Mm11emdNTHVpLTlESXFfUVc5SFZFYkZYTWcwZ1kxc2ZUU1lPVWo3UmRjQXl4SFREaElpVTZvZktVMW43QXhNU2ZHal9hSHQ0bkttRV8xa1BVbHRHSENoSE5GblYwZElISUxNbG1fSG1uWUJ0QVgtZw?oc=5</x:v>
      </x:c>
      <x:c r="H80" s="44"/>
      <x:c r="I80" s="42" t="str">
        <x:v>Облигации Озона: заработай на маркетплейсе - Альфа-Банк</x:v>
      </x:c>
    </x:row>
    <x:row r="81">
      <x:c r="A81" s="42" t="str">
        <x:v>DL-e65aa610a439e531</x:v>
      </x:c>
      <x:c r="B81" s="44" t="n">
        <x:v>46132</x:v>
      </x:c>
      <x:c r="C81" s="42" t="str">
        <x:v>Yandex</x:v>
      </x:c>
      <x:c r="D81" s="42" t="str">
        <x:v>https://expert.ru</x:v>
      </x:c>
      <x:c r="E81" s="42" t="str">
        <x:v>public_web</x:v>
      </x:c>
      <x:c r="F81" s="42" t="str">
        <x:v>unverified</x:v>
      </x:c>
      <x:c r="G81" s="42" t="str">
        <x:v>https://expert.ru/news/aktsionery-yandeksa-utverdili-dividendy-za-2025-god-v-razmere-110-rubley</x:v>
      </x:c>
      <x:c r="H81" s="44" t="n">
        <x:v>46132</x:v>
      </x:c>
      <x:c r="I81" s="42" t="str">
        <x:v>Акционеры «Яндекса» утвердили дивиденды за 2025 год в размере 110 рублей - https://expert.ru</x:v>
      </x:c>
    </x:row>
    <x:row r="82">
      <x:c r="A82" s="42" t="str">
        <x:v>DL-e65aa610a439e531</x:v>
      </x:c>
      <x:c r="B82" s="44" t="n">
        <x:v>46132</x:v>
      </x:c>
      <x:c r="C82" s="42" t="str">
        <x:v>Yandex</x:v>
      </x:c>
      <x:c r="D82" s="42" t="str">
        <x:v>https://expert.ru</x:v>
      </x:c>
      <x:c r="E82" s="42" t="str">
        <x:v>archive_discovery</x:v>
      </x:c>
      <x:c r="F82" s="42" t="str">
        <x:v>unverified</x:v>
      </x:c>
      <x:c r="G82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82" s="44"/>
      <x:c r="I82" s="42" t="str">
        <x:v>Акционеры «Яндекса» утвердили дивиденды за 2025 год в размере 110 рублей - https://expert.ru</x:v>
      </x:c>
    </x:row>
    <x:row r="83">
      <x:c r="A83" s="42" t="str">
        <x:v>DL-0e547964381c1356</x:v>
      </x:c>
      <x:c r="B83" s="44" t="n">
        <x:v>46132</x:v>
      </x:c>
      <x:c r="C83" s="42" t="str">
        <x:v>Yandex</x:v>
      </x:c>
      <x:c r="D83" s="42" t="str">
        <x:v>RB.RU</x:v>
      </x:c>
      <x:c r="E83" s="42" t="str">
        <x:v>public_web</x:v>
      </x:c>
      <x:c r="F83" s="42" t="str">
        <x:v>unverified</x:v>
      </x:c>
      <x:c r="G83" s="42" t="str">
        <x:v>https://rb.ru/news/yandeks-odobril-dividendy-po-itogam-2025-go-vyplaty-sostavyat-110-za-akciyu-pochti-na-40-vyshe-chem-v-proshlom-godu/</x:v>
      </x:c>
      <x:c r="H83" s="44" t="n">
        <x:v>46132</x:v>
      </x:c>
      <x:c r="I83" s="42" t="str">
        <x:v>Яндекс утвердил дивиденды по итогам 2025 года — выплаты составят 110 ₽ за акцию - RB.RU</x:v>
      </x:c>
    </x:row>
    <x:row r="84">
      <x:c r="A84" s="42" t="str">
        <x:v>DL-0e547964381c1356</x:v>
      </x:c>
      <x:c r="B84" s="44" t="n">
        <x:v>46132</x:v>
      </x:c>
      <x:c r="C84" s="42" t="str">
        <x:v>Yandex</x:v>
      </x:c>
      <x:c r="D84" s="42" t="str">
        <x:v>RB.RU</x:v>
      </x:c>
      <x:c r="E84" s="42" t="str">
        <x:v>archive_discovery</x:v>
      </x:c>
      <x:c r="F84" s="42" t="str">
        <x:v>unverified</x:v>
      </x:c>
      <x:c r="G84" s="42" t="str">
        <x:v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H84" s="44"/>
      <x:c r="I84" s="42" t="str">
        <x:v>Яндекс утвердил дивиденды по итогам 2025 года — выплаты составят 110 ₽ за акцию - RB.RU</x:v>
      </x:c>
    </x:row>
    <x:row r="85">
      <x:c r="A85" s="42" t="str">
        <x:v>DL-c10daba8af8e67d8</x:v>
      </x:c>
      <x:c r="B85" s="44" t="n">
        <x:v>46128</x:v>
      </x:c>
      <x:c r="C85" s="42" t="str">
        <x:v>Точка Банка</x:v>
      </x:c>
      <x:c r="D85" s="42" t="str">
        <x:v>RB.RU</x:v>
      </x:c>
      <x:c r="E85" s="42" t="str">
        <x:v>public_web</x:v>
      </x:c>
      <x:c r="F85" s="42" t="str">
        <x:v>unverified</x:v>
      </x:c>
      <x:c r="G85" s="42" t="str">
        <x:v>https://rb.ru/news/vk-prodal-25-akcij-tochka-banka-sdelku-ocenili-v-212-mlrd-vdvoe-vyshe-iznachalnoj-stoimosti-bumag/</x:v>
      </x:c>
      <x:c r="H85" s="44" t="n">
        <x:v>46128</x:v>
      </x:c>
      <x:c r="I85" s="42" t="str">
        <x:v>VK продал 25% акций Точка Банка: сделку оценили в 21,2 млрд ₽ — вдвое выше изначальной стоимости бумаг - RB.RU</x:v>
      </x:c>
    </x:row>
    <x:row r="86">
      <x:c r="A86" s="42" t="str">
        <x:v>DL-c10daba8af8e67d8</x:v>
      </x:c>
      <x:c r="B86" s="44" t="n">
        <x:v>46128</x:v>
      </x:c>
      <x:c r="C86" s="42" t="str">
        <x:v>Точка Банка</x:v>
      </x:c>
      <x:c r="D86" s="42" t="str">
        <x:v>Ведомости</x:v>
      </x:c>
      <x:c r="E86" s="42" t="str">
        <x:v>public_web</x:v>
      </x:c>
      <x:c r="F86" s="42" t="str">
        <x:v>unverified</x:v>
      </x:c>
      <x:c r="G86" s="42" t="str">
        <x:v>https://www.vedomosti.ru/finance/news/2026/04/16/1190812-vk-prodala-dolyu</x:v>
      </x:c>
      <x:c r="H86" s="44" t="n">
        <x:v>46128</x:v>
      </x:c>
      <x:c r="I86" s="42" t="str">
        <x:v>VK продал 25% акций Точка Банка: сделку оценили в 21,2 млрд ₽ — вдвое выше изначальной стоимости бумаг - RB.RU</x:v>
      </x:c>
    </x:row>
    <x:row r="87">
      <x:c r="A87" s="42" t="str">
        <x:v>DL-c10daba8af8e67d8</x:v>
      </x:c>
      <x:c r="B87" s="44" t="n">
        <x:v>46128</x:v>
      </x:c>
      <x:c r="C87" s="42" t="str">
        <x:v>Точка Банка</x:v>
      </x:c>
      <x:c r="D87" s="42" t="str">
        <x:v>CNews.ru</x:v>
      </x:c>
      <x:c r="E87" s="42" t="str">
        <x:v>public_web</x:v>
      </x:c>
      <x:c r="F87" s="42" t="str">
        <x:v>unverified</x:v>
      </x:c>
      <x:c r="G87" s="42" t="str">
        <x:v>https://www.cnews.ru/news/top/2026-04-16_vk_prodal_svoyu_dolyu_v_virtualnom</x:v>
      </x:c>
      <x:c r="H87" s="44" t="n">
        <x:v>46128</x:v>
      </x:c>
      <x:c r="I87" s="42" t="str">
        <x:v>VK продал 25% акций Точка Банка: сделку оценили в 21,2 млрд ₽ — вдвое выше изначальной стоимости бумаг - RB.RU</x:v>
      </x:c>
    </x:row>
    <x:row r="88">
      <x:c r="A88" s="42" t="str">
        <x:v>DL-c10daba8af8e67d8</x:v>
      </x:c>
      <x:c r="B88" s="44" t="n">
        <x:v>46128</x:v>
      </x:c>
      <x:c r="C88" s="42" t="str">
        <x:v>Точка Банка</x:v>
      </x:c>
      <x:c r="D88" s="42" t="str">
        <x:v>RB.RU</x:v>
      </x:c>
      <x:c r="E88" s="42" t="str">
        <x:v>archive_discovery</x:v>
      </x:c>
      <x:c r="F88" s="42" t="str">
        <x:v>unverified</x:v>
      </x:c>
      <x:c r="G88" s="42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H88" s="44"/>
      <x:c r="I88" s="42" t="str">
        <x:v>VK продал 25% акций Точка Банка: сделку оценили в 21,2 млрд ₽ — вдвое выше изначальной стоимости бумаг - RB.RU</x:v>
      </x:c>
    </x:row>
    <x:row r="89">
      <x:c r="A89" s="42" t="str">
        <x:v>DL-c10daba8af8e67d8</x:v>
      </x:c>
      <x:c r="B89" s="44" t="n">
        <x:v>46128</x:v>
      </x:c>
      <x:c r="C89" s="42" t="str">
        <x:v>Точка Банка</x:v>
      </x:c>
      <x:c r="D89" s="42" t="str">
        <x:v>Ведомости</x:v>
      </x:c>
      <x:c r="E89" s="42" t="str">
        <x:v>archive_discovery</x:v>
      </x:c>
      <x:c r="F89" s="42" t="str">
        <x:v>unverified</x:v>
      </x:c>
      <x:c r="G89" s="42" t="str">
        <x:v>https://news.google.com/rss/articles/CBMifkFVX3lxTE1vSUlEOTl2cU5jckxzemNzN2oyNVZaX203N1VWRkpuZXNwYV9sdUNGMTZPTHhiNm5LWFBmdFM0QkFTRjFPczd4VEFlTEZpRzhiakF2ZGh5UU5kamRvbnFRTDE5dG8zOF9HRkk5MDUwVzBWbU9qWEN0MDhIdTJNUQ?oc=5</x:v>
      </x:c>
      <x:c r="H89" s="44"/>
      <x:c r="I89" s="42" t="str">
        <x:v>VK продал 25% акций Точка Банка: сделку оценили в 21,2 млрд ₽ — вдвое выше изначальной стоимости бумаг - RB.RU</x:v>
      </x:c>
    </x:row>
    <x:row r="90">
      <x:c r="A90" s="42" t="str">
        <x:v>DL-c10daba8af8e67d8</x:v>
      </x:c>
      <x:c r="B90" s="44" t="n">
        <x:v>46128</x:v>
      </x:c>
      <x:c r="C90" s="42" t="str">
        <x:v>Точка Банка</x:v>
      </x:c>
      <x:c r="D90" s="42" t="str">
        <x:v>CNews.ru</x:v>
      </x:c>
      <x:c r="E90" s="42" t="str">
        <x:v>archive_discovery</x:v>
      </x:c>
      <x:c r="F90" s="42" t="str">
        <x:v>unverified</x:v>
      </x:c>
      <x:c r="G90" s="42" t="str">
        <x:v>https://news.google.com/rss/articles/CBMigAFBVV95cUxOeU1NOHJNay1uUm9TdlpGcWh4YkNXN3J0clFCT2JrM0t5T3hwTmtTRlJXUWpyeVBYbnltZlB0dnpqLWxhTUxQNW9wQU1LeG5sTjVzT1NNQlFlY0Jpb1REMGhyWG1wSUM0STZXbFFaNndzQ1A1MlVvMFN3RmlmOW4tXw?oc=5</x:v>
      </x:c>
      <x:c r="H90" s="44"/>
      <x:c r="I90" s="42" t="str">
        <x:v>VK продал 25% акций Точка Банка: сделку оценили в 21,2 млрд ₽ — вдвое выше изначальной стоимости бумаг - RB.RU</x:v>
      </x:c>
    </x:row>
    <x:row r="91">
      <x:c r="A91" s="42" t="str">
        <x:v>DL-4774de17c61c14e4</x:v>
      </x:c>
      <x:c r="B91" s="44" t="n">
        <x:v>46122</x:v>
      </x:c>
      <x:c r="C91" s="42" t="str">
        <x:v>VK</x:v>
      </x:c>
      <x:c r="D91" s="42" t="str">
        <x:v>Финам</x:v>
      </x:c>
      <x:c r="E91" s="42" t="str">
        <x:v>public_web</x:v>
      </x:c>
      <x:c r="F91" s="42" t="str">
        <x:v>unverified</x:v>
      </x:c>
      <x:c r="G91" s="42" t="str">
        <x:v>https://www.finam.ru/publications/item/dvoynoe-razmeshchenie-obligatsiy-vk-chego-zhdat-chastnym-investoram-20260410-1829/</x:v>
      </x:c>
      <x:c r="H91" s="44" t="n">
        <x:v>46122</x:v>
      </x:c>
      <x:c r="I91" s="42" t="str">
        <x:v>Двойное размещение облигаций VK.</x:v>
      </x:c>
    </x:row>
    <x:row r="92">
      <x:c r="A92" s="42" t="str">
        <x:v>DL-87f81143148d7276</x:v>
      </x:c>
      <x:c r="B92" s="44" t="n">
        <x:v>46122</x:v>
      </x:c>
      <x:c r="C92" s="42" t="str">
        <x:v>Ozon</x:v>
      </x:c>
      <x:c r="D92" s="42" t="str">
        <x:v>Альфа-Банк</x:v>
      </x:c>
      <x:c r="E92" s="42" t="str">
        <x:v>public_web</x:v>
      </x:c>
      <x:c r="F92" s="42" t="str">
        <x:v>unverified</x:v>
      </x:c>
      <x:c r="G92" s="42" t="str">
        <x:v>https://alfabank.ru/alfa-investor/posts/t/1238104e-fa34-f111-91c8-0050569ebac3/</x:v>
      </x:c>
      <x:c r="H92" s="44" t="n">
        <x:v>46122</x:v>
      </x:c>
      <x:c r="I92" s="42" t="str">
        <x:v>Мы держим Ozon в портфеле роста, но не в дивидендном Хотя - Альфа-Банк</x:v>
      </x:c>
    </x:row>
    <x:row r="93">
      <x:c r="A93" s="42" t="str">
        <x:v>DL-87f81143148d7276</x:v>
      </x:c>
      <x:c r="B93" s="44" t="n">
        <x:v>46122</x:v>
      </x:c>
      <x:c r="C93" s="42" t="str">
        <x:v>Ozon</x:v>
      </x:c>
      <x:c r="D93" s="42" t="str">
        <x:v>Альфа-Банк</x:v>
      </x:c>
      <x:c r="E93" s="42" t="str">
        <x:v>archive_discovery</x:v>
      </x:c>
      <x:c r="F93" s="42" t="str">
        <x:v>unverified</x:v>
      </x:c>
      <x:c r="G93" s="42" t="str">
        <x:v>https://news.google.com/rss/articles/CBMihgFBVV95cUxNbVZjUURpZDgxcTE2VG9jRktkMVZHRmpqSG9jclBJZU45SVNzS3VLTUFyYkhnUWdpQl9pb1Jvd1p5Ni12Z1pFQWlKeDQtUDUxY0xCSVA0dno3ZjJzWnZkS3RLVWh3UjNGWVJXd29rbjFBUjdVUnZwa1RGdk9hQTIxMHBCRzFPdw?oc=5</x:v>
      </x:c>
      <x:c r="H93" s="44"/>
      <x:c r="I93" s="42" t="str">
        <x:v>Мы держим Ozon в портфеле роста, но не в дивидендном Хотя - Альфа-Банк</x:v>
      </x:c>
    </x:row>
    <x:row r="94">
      <x:c r="A94" s="42" t="str">
        <x:v>DL-1363a495ec14164a</x:v>
      </x:c>
      <x:c r="B94" s="44" t="n">
        <x:v>46115</x:v>
      </x:c>
      <x:c r="C94" s="42" t="str">
        <x:v>Ozon</x:v>
      </x:c>
      <x:c r="D94" s="42" t="str">
        <x:v>https://expert.ru</x:v>
      </x:c>
      <x:c r="E94" s="42" t="str">
        <x:v>public_web</x:v>
      </x:c>
      <x:c r="F94" s="42" t="str">
        <x:v>unverified</x:v>
      </x:c>
      <x:c r="G94" s="42" t="str">
        <x:v>https://expert.ru/news/ozon-anonsiroval-razmeshchenie-obligatsiy-na-15-mlrd-rubley</x:v>
      </x:c>
      <x:c r="H94" s="44" t="n">
        <x:v>46115</x:v>
      </x:c>
      <x:c r="I94" s="42" t="str">
        <x:v>Ozon анонсировал размещение облигаций на 15 млрд рублей - https://expert.ru</x:v>
      </x:c>
    </x:row>
    <x:row r="95">
      <x:c r="A95" s="42" t="str">
        <x:v>DL-1363a495ec14164a</x:v>
      </x:c>
      <x:c r="B95" s="44" t="n">
        <x:v>46115</x:v>
      </x:c>
      <x:c r="C95" s="42" t="str">
        <x:v>Ozon</x:v>
      </x:c>
      <x:c r="D95" s="42" t="str">
        <x:v>https://expert.ru</x:v>
      </x:c>
      <x:c r="E95" s="42" t="str">
        <x:v>archive_discovery</x:v>
      </x:c>
      <x:c r="F95" s="42" t="str">
        <x:v>unverified</x:v>
      </x:c>
      <x:c r="G95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95" s="44"/>
      <x:c r="I95" s="42" t="str">
        <x:v>Ozon анонсировал размещение облигаций на 15 млрд рублей - https://expert.ru</x:v>
      </x:c>
    </x:row>
    <x:row r="96">
      <x:c r="A96" s="42" t="str">
        <x:v>DL-12855c6275c496fe</x:v>
      </x:c>
      <x:c r="B96" s="44" t="n">
        <x:v>46115</x:v>
      </x:c>
      <x:c r="C96" s="42" t="str">
        <x:v>Ozon</x:v>
      </x:c>
      <x:c r="D96" s="42" t="str">
        <x:v>БКС Экспресс</x:v>
      </x:c>
      <x:c r="E96" s="42" t="str">
        <x:v>public_web</x:v>
      </x:c>
      <x:c r="F96" s="42" t="str">
        <x:v>unverified</x:v>
      </x:c>
      <x:c r="G96" s="42" t="str">
        <x:v>https://bcs-express.ru/novosti-i-analitika/ozon-planiruet-debiutnoe-razmeshchenie-birzhevykh-obligatsii</x:v>
      </x:c>
      <x:c r="H96" s="44" t="n">
        <x:v>46115</x:v>
      </x:c>
      <x:c r="I96" s="42" t="str">
        <x:v>Озон планирует дебютное размещение биржевых облигаций - БКС Экспресс</x:v>
      </x:c>
    </x:row>
    <x:row r="97">
      <x:c r="A97" s="42" t="str">
        <x:v>DL-12855c6275c496fe</x:v>
      </x:c>
      <x:c r="B97" s="44" t="n">
        <x:v>46115</x:v>
      </x:c>
      <x:c r="C97" s="42" t="str">
        <x:v>Ozon</x:v>
      </x:c>
      <x:c r="D97" s="42" t="str">
        <x:v>БКС Экспресс</x:v>
      </x:c>
      <x:c r="E97" s="42" t="str">
        <x:v>archive_discovery</x:v>
      </x:c>
      <x:c r="F97" s="42" t="str">
        <x:v>unverified</x:v>
      </x:c>
      <x:c r="G97" s="42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H97" s="44"/>
      <x:c r="I97" s="42" t="str">
        <x:v>Озон планирует дебютное размещение биржевых облигаций - БКС Экспресс</x:v>
      </x:c>
    </x:row>
    <x:row r="98">
      <x:c r="A98" s="42" t="str">
        <x:v>DL-d39c99c4c2dfa45c</x:v>
      </x:c>
      <x:c r="B98" s="44" t="n">
        <x:v>46111</x:v>
      </x:c>
      <x:c r="C98" s="42" t="str">
        <x:v>VK</x:v>
      </x:c>
      <x:c r="D98" s="42" t="str">
        <x:v>vk.company</x:v>
      </x:c>
      <x:c r="E98" s="42" t="str">
        <x:v>public_web</x:v>
      </x:c>
      <x:c r="F98" s="42" t="str">
        <x:v>unverified</x:v>
      </x:c>
      <x:c r="G98" s="42" t="str">
        <x:v>https://vk.company/investors/info/12271/</x:v>
      </x:c>
      <x:c r="H98" s="44" t="n">
        <x:v>46111</x:v>
      </x:c>
      <x:c r="I98" s="42" t="str">
        <x:v>VK объявляет о планах по размещению биржевых облигаций объемом 10 млрд рублей - vk.company</x:v>
      </x:c>
    </x:row>
    <x:row r="99">
      <x:c r="A99" s="42" t="str">
        <x:v>DL-b9babb23f2c4462c</x:v>
      </x:c>
      <x:c r="B99" s="44" t="n">
        <x:v>46111</x:v>
      </x:c>
      <x:c r="C99" s="42" t="str">
        <x:v>VK</x:v>
      </x:c>
      <x:c r="D99" s="42" t="str">
        <x:v>Финам</x:v>
      </x:c>
      <x:c r="E99" s="42" t="str">
        <x:v>public_web</x:v>
      </x:c>
      <x:c r="F99" s="42" t="str">
        <x:v>unverified</x:v>
      </x:c>
      <x:c r="G99" s="42" t="str">
        <x:v>https://www.finam.ru/publications/item/vk-razmeshchaet-obligatsii-kak-eto-otrazitsya-na-investorakh-v-aktsii-20260330-1740/</x:v>
      </x:c>
      <x:c r="H99" s="44" t="n">
        <x:v>46111</x:v>
      </x:c>
      <x:c r="I99" s="42" t="str">
        <x:v>VK размещает облигации: как это отразится на инвесторах в акции 30.03.2026 - Финам</x:v>
      </x:c>
    </x:row>
    <x:row r="100">
      <x:c r="A100" s="42" t="str">
        <x:v>DL-238a83afad61e805</x:v>
      </x:c>
      <x:c r="B100" s="44" t="n">
        <x:v>46080</x:v>
      </x:c>
      <x:c r="C100" s="42" t="str">
        <x:v>SELECTEL</x:v>
      </x:c>
      <x:c r="D100" s="42" t="str">
        <x:v>Selectel Newsroom</x:v>
      </x:c>
      <x:c r="E100" s="42" t="str">
        <x:v>public_web</x:v>
      </x:c>
      <x:c r="F100" s="42" t="str">
        <x:v>confirmed</x:v>
      </x:c>
      <x:c r="G100" s="42" t="str">
        <x:v>https://selectel.ru/about/newsroom/news/selectel-razmestil-novyj-vypusk-obligaczij-i-privlek-7-milliardov-rublej-na-razvitie-biznesa/</x:v>
      </x:c>
      <x:c r="H100" s="44" t="n">
        <x:v>46080</x:v>
      </x:c>
      <x:c r="I100" s="42" t="str">
        <x:v>Selectel разместил новый выпуск облигаций и привлек 7 миллиардов рублей на развитие бизнеса</x:v>
      </x:c>
    </x:row>
    <x:row r="101">
      <x:c r="A101" s="42" t="str">
        <x:v>DL-251bf0d0b7b600c1</x:v>
      </x:c>
      <x:c r="B101" s="44" t="n">
        <x:v>45642</x:v>
      </x:c>
      <x:c r="C101" s="42" t="str">
        <x:v>Not disclosed</x:v>
      </x:c>
      <x:c r="D101" s="42" t="str">
        <x:v>Selectel Newsroom</x:v>
      </x:c>
      <x:c r="E101" s="42" t="str">
        <x:v>public_web</x:v>
      </x:c>
      <x:c r="F101" s="42" t="str">
        <x:v>confirmed</x:v>
      </x:c>
      <x:c r="G101" s="42" t="str">
        <x:v>https://selectel.ru/about/newsroom/news/selectel-soobshchaet-o-priobretenii-oblachnogo-provajdera-servers-ru/</x:v>
      </x:c>
      <x:c r="H101" s="44" t="n">
        <x:v>45642</x:v>
      </x:c>
      <x:c r="I101" s="42" t="str">
        <x:v>Selectel сообщает о приобретении облачного провайдера Servers.ru</x:v>
      </x:c>
    </x:row>
    <x:row r="102">
      <x:c r="A102" s="42" t="str">
        <x:v>DL-aa5a93661389a659</x:v>
      </x:c>
      <x:c r="B102" s="44" t="n">
        <x:v>45611</x:v>
      </x:c>
      <x:c r="C102" s="42" t="str">
        <x:v>SELECTEL</x:v>
      </x:c>
      <x:c r="D102" s="42" t="str">
        <x:v>Selectel Newsroom</x:v>
      </x:c>
      <x:c r="E102" s="42" t="str">
        <x:v>public_web</x:v>
      </x:c>
      <x:c r="F102" s="42" t="str">
        <x:v>confirmed</x:v>
      </x:c>
      <x:c r="G102" s="42" t="str">
        <x:v>https://selectel.ru/about/newsroom/news/selectel-planiruet-razmeshhenie-obligaczij-obemom-3-milliarda-rublej-2/</x:v>
      </x:c>
      <x:c r="H102" s="44" t="n">
        <x:v>45611</x:v>
      </x:c>
      <x:c r="I102" s="42" t="str">
        <x:v>Selectel планирует размещение облигаций объемом 3 миллиарда рублей</x:v>
      </x:c>
    </x:row>
    <x:row r="103">
      <x:c r="A103" s="42" t="str">
        <x:v>DL-c898acc93d60813b</x:v>
      </x:c>
      <x:c r="B103" s="44" t="n">
        <x:v>45391</x:v>
      </x:c>
      <x:c r="C103" s="42" t="str">
        <x:v>SELECTEL</x:v>
      </x:c>
      <x:c r="D103" s="42" t="str">
        <x:v>Selectel Newsroom</x:v>
      </x:c>
      <x:c r="E103" s="42" t="str">
        <x:v>public_web</x:v>
      </x:c>
      <x:c r="F103" s="42" t="str">
        <x:v>confirmed</x:v>
      </x:c>
      <x:c r="G103" s="42" t="str">
        <x:v>https://selectel.ru/about/newsroom/news/selectel-na-fone-povyshennogo-sprosa-na-obligaczii-chetvertogo-vypuska-uvelichil-obem-razmeshheniya-do-4-mlrd-rublej/</x:v>
      </x:c>
      <x:c r="H103" s="44" t="n">
        <x:v>45391</x:v>
      </x:c>
      <x:c r="I103" s="42" t="str">
        <x:v>Selectel на фоне повышенного спроса на облигации четвертого выпуска увеличил объем размещения до 4 млрд рублей</x:v>
      </x:c>
    </x:row>
    <x:row r="104">
      <x:c r="A104" s="42" t="str">
        <x:v>DL-3b4a4419ab6b81bf</x:v>
      </x:c>
      <x:c r="B104" s="44" t="n">
        <x:v>45357</x:v>
      </x:c>
      <x:c r="C104" s="42" t="str">
        <x:v>SELECTEL</x:v>
      </x:c>
      <x:c r="D104" s="42" t="str">
        <x:v>Selectel Newsroom</x:v>
      </x:c>
      <x:c r="E104" s="42" t="str">
        <x:v>public_web</x:v>
      </x:c>
      <x:c r="F104" s="42" t="str">
        <x:v>confirmed</x:v>
      </x:c>
      <x:c r="G104" s="42" t="str">
        <x:v>https://selectel.ru/about/newsroom/news/selectel-planiruet-razmeshhenie-obligaczij-obemom-3-milliarda-rublej/</x:v>
      </x:c>
      <x:c r="H104" s="44" t="n">
        <x:v>45357</x:v>
      </x:c>
      <x:c r="I104" s="42" t="str">
        <x:v>Selectel планирует размещение облигаций объемом 3 миллиарда рублей</x:v>
      </x:c>
    </x:row>
    <x:row r="105">
      <x:c r="A105" s="42" t="str">
        <x:v>DL-0242cf80b3f97c9c</x:v>
      </x:c>
      <x:c r="B105" s="44" t="n">
        <x:v>45288</x:v>
      </x:c>
      <x:c r="C105" s="42" t="str">
        <x:v>25% провайдера IT-инфраструктуры Selectel</x:v>
      </x:c>
      <x:c r="D105" s="42" t="str">
        <x:v>Selectel Newsroom</x:v>
      </x:c>
      <x:c r="E105" s="42" t="str">
        <x:v>public_web</x:v>
      </x:c>
      <x:c r="F105" s="42" t="str">
        <x:v>confirmed</x:v>
      </x:c>
      <x:c r="G105" s="42" t="str">
        <x:v>https://selectel.ru/about/newsroom/news/investicionnyj-fond-tier-5-priobrel-25-provajdera-it-infrastruktury-selectel/</x:v>
      </x:c>
      <x:c r="H105" s="44" t="n">
        <x:v>45288</x:v>
      </x:c>
      <x:c r="I105" s="42" t="str">
        <x:v>Инвестиционный фонд Tier 5 приобрел 25% провайдера IT-инфраструктуры Selectel</x:v>
      </x:c>
    </x:row>
    <x:row r="106">
      <x:c r="A106" s="42" t="str">
        <x:v>CURATED-MA-BROADCOM-VMWARE-2022</x:v>
      </x:c>
      <x:c r="B106" s="44" t="n">
        <x:v>44707</x:v>
      </x:c>
      <x:c r="C106" s="42" t="str">
        <x:v>VMware</x:v>
      </x:c>
      <x:c r="D106" s="42" t="str">
        <x:v>Broadcom transaction announcement</x:v>
      </x:c>
      <x:c r="E106" s="42" t="str">
        <x:v>issuer_ir</x:v>
      </x:c>
      <x:c r="F106" s="42" t="str">
        <x:v>confirmed</x:v>
      </x:c>
      <x:c r="G106" s="42" t="str">
        <x:v>https://investors.broadcom.com/news-releases/news-release-details/broadcom-acquire-vmware-approximately-61-billion-cash-and-stock</x:v>
      </x:c>
      <x:c r="H106" s="44" t="n">
        <x:v>44707</x:v>
      </x:c>
      <x:c r="I106" s="42" t="str">
        <x:v>Broadcom acquired VMware in a cash-and-stock transaction</x:v>
      </x:c>
    </x:row>
    <x:row r="107">
      <x:c r="A107" s="42" t="str">
        <x:v>CURATED-MA-BROADCOM-VMWARE-2022</x:v>
      </x:c>
      <x:c r="B107" s="44" t="n">
        <x:v>44707</x:v>
      </x:c>
      <x:c r="C107" s="42" t="str">
        <x:v>VMware</x:v>
      </x:c>
      <x:c r="D107" s="42" t="str">
        <x:v>VMware FY2022 Form 10-K</x:v>
      </x:c>
      <x:c r="E107" s="42" t="str">
        <x:v>sec_filing</x:v>
      </x:c>
      <x:c r="F107" s="42" t="str">
        <x:v>confirmed</x:v>
      </x:c>
      <x:c r="G107" s="42" t="str">
        <x:v>https://www.sec.gov/Archives/edgar/data/1124610/000112461022000019/vmw-20220128.htm</x:v>
      </x:c>
      <x:c r="H107" s="44" t="n">
        <x:v>44644</x:v>
      </x:c>
      <x:c r="I107" s="42" t="str">
        <x:v>Broadcom acquired VMware in a cash-and-stock transaction</x:v>
      </x:c>
    </x:row>
    <x:row r="108">
      <x:c r="A108" s="42" t="str">
        <x:v>CURATED-MA-BROADCOM-VMWARE-2022</x:v>
      </x:c>
      <x:c r="B108" s="44" t="n">
        <x:v>44707</x:v>
      </x:c>
      <x:c r="C108" s="42" t="str">
        <x:v>VMware</x:v>
      </x:c>
      <x:c r="D108" s="42" t="str">
        <x:v>VMware FY2022 Form 10-K</x:v>
      </x:c>
      <x:c r="E108" s="42" t="str">
        <x:v>sec_filing</x:v>
      </x:c>
      <x:c r="F108" s="42" t="str">
        <x:v>confirmed</x:v>
      </x:c>
      <x:c r="G108" s="42" t="str">
        <x:v>https://www.sec.gov/Archives/edgar/data/1124610/000112461022000009/vmw-20220128.htm</x:v>
      </x:c>
      <x:c r="H108" s="44" t="n">
        <x:v>44644</x:v>
      </x:c>
      <x:c r="I108" s="42" t="str">
        <x:v>Broadcom acquired VMware in a cash-and-stock transaction</x:v>
      </x:c>
    </x:row>
    <x:row r="109">
      <x:c r="A109" s="42" t="str">
        <x:v>CURATED-MA-MICROSOFT-ACTIVISION-2022</x:v>
      </x:c>
      <x:c r="B109" s="44" t="n">
        <x:v>44579</x:v>
      </x:c>
      <x:c r="C109" s="42" t="str">
        <x:v>Activision Blizzard</x:v>
      </x:c>
      <x:c r="D109" s="42" t="str">
        <x:v>Microsoft transaction announcement</x:v>
      </x:c>
      <x:c r="E109" s="42" t="str">
        <x:v>issuer_ir</x:v>
      </x:c>
      <x:c r="F109" s="42" t="str">
        <x:v>confirmed</x:v>
      </x:c>
      <x:c r="G109" s="42" t="str">
        <x:v>https://news.microsoft.com/source/2022/01/18/microsoft-to-acquire-activision-blizzard-to-bring-the-joy-and-community-of-gaming-to-everyone-across-every-device/</x:v>
      </x:c>
      <x:c r="H109" s="44" t="n">
        <x:v>44579</x:v>
      </x:c>
      <x:c r="I109" s="42" t="str">
        <x:v>Microsoft acquired Activision Blizzard in an all-cash transaction</x:v>
      </x:c>
    </x:row>
    <x:row r="110">
      <x:c r="A110" s="42" t="str">
        <x:v>CURATED-MA-MICROSOFT-ACTIVISION-2022</x:v>
      </x:c>
      <x:c r="B110" s="44" t="n">
        <x:v>44579</x:v>
      </x:c>
      <x:c r="C110" s="42" t="str">
        <x:v>Activision Blizzard</x:v>
      </x:c>
      <x:c r="D110" s="42" t="str">
        <x:v>Activision Blizzard 2022 Form 10-K comparative FY2021 data</x:v>
      </x:c>
      <x:c r="E110" s="42" t="str">
        <x:v>sec_filing</x:v>
      </x:c>
      <x:c r="F110" s="42" t="str">
        <x:v>confirmed</x:v>
      </x:c>
      <x:c r="G110" s="42" t="str">
        <x:v>https://www.sec.gov/Archives/edgar/data/718877/000162828023004842/atvi-20221231.htm</x:v>
      </x:c>
      <x:c r="H110" s="44" t="n">
        <x:v>44617</x:v>
      </x:c>
      <x:c r="I110" s="42" t="str">
        <x:v>Microsoft acquired Activision Blizzard in an all-cash transaction</x:v>
      </x:c>
    </x:row>
  </x:sheetData>
  <x:mergeCells>
    <x:mergeCell ref="A1:P1"/>
    <x:mergeCell ref="A2:P2"/>
    <x:mergeCell ref="A4:I4"/>
    <x:mergeCell ref="K4:P4"/>
    <x:mergeCell ref="K16:O16"/>
  </x:mergeCells>
  <x:conditionalFormatting sqref="P7:P16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16a7907d67b942e2"/>
  </x:tableParts>
</x:worksheet>
</file>