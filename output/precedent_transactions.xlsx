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f826112f9c4c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al Dashboard" sheetId="1" r:id="R209f00ac58ba4bfd"/>
    <x:sheet xmlns:r="http://schemas.openxmlformats.org/officeDocument/2006/relationships" name="Precedent Transactions" sheetId="2" r:id="Rf51a889b1a7f4027"/>
    <x:sheet xmlns:r="http://schemas.openxmlformats.org/officeDocument/2006/relationships" name="Deal Card" sheetId="3" r:id="R6b6d26b547cf48c8"/>
    <x:sheet xmlns:r="http://schemas.openxmlformats.org/officeDocument/2006/relationships" name="Sources &amp; QA" sheetId="4" r:id="R9e0c9870076140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;[Red](#,##0);-"/>
    <x:numFmt numFmtId="201" formatCode="0.0x"/>
    <x:numFmt numFmtId="202" formatCode="dd-mmm-yyyy"/>
    <x:numFmt numFmtId="203" formatCode="0.0%;[Red](0.0%);-"/>
  </x:numFmts>
  <x:fonts count="11">
    <x:font>
      <x:sz val="11"/>
      <x:name val="Carlito"/>
    </x:font>
    <x:font>
      <x:b/>
      <x:sz val="18"/>
      <x:color rgb="FFFFFFFF"/>
      <x:name val="Carlito"/>
    </x:font>
    <x:font>
      <x:i/>
      <x:sz val="9"/>
      <x:color rgb="FF52616F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14"/>
      <x:name val="Carlito"/>
    </x:font>
    <x:font>
      <x:sz val="9"/>
      <x:color rgb="FF7F6000"/>
      <x:name val="Carlito"/>
    </x:font>
    <x:font>
      <x:sz val="9"/>
      <x:color rgb="FF008000"/>
      <x:name val="Carlito"/>
    </x:font>
    <x:font>
      <x:sz val="9"/>
      <x:color rgb="FF000000"/>
      <x:name val="Carlito"/>
    </x:font>
    <x:font>
      <x:b/>
      <x:sz val="11"/>
      <x:color rgb="FF10243E"/>
      <x:name val="Carlito"/>
    </x:font>
    <x:font>
      <x:sz val="11"/>
      <x:color rgb="FF00800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0243E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6">
    <x:border/>
    <x:border>
      <x:left style="thin">
        <x:color rgb="FFCCD5DF"/>
      </x:left>
      <x:top style="thin">
        <x:color rgb="FFCCD5DF"/>
      </x:top>
      <x:bottom style="thin">
        <x:color rgb="FFCCD5DF"/>
      </x:bottom>
    </x:border>
    <x:border>
      <x:top style="thin">
        <x:color rgb="FFCCD5DF"/>
      </x:top>
      <x:bottom style="thin">
        <x:color rgb="FFCCD5DF"/>
      </x:bottom>
    </x:border>
    <x:border>
      <x:right style="thin">
        <x:color rgb="FFCCD5DF"/>
      </x:right>
      <x:top style="thin">
        <x:color rgb="FFCCD5DF"/>
      </x:top>
      <x:bottom style="thin">
        <x:color rgb="FFCCD5DF"/>
      </x:bottom>
    </x:border>
    <x:border>
      <x:bottom style="thin">
        <x:color rgb="FFCCD5DF"/>
      </x:bottom>
    </x:border>
    <x:border>
      <x:top style="thin">
        <x:color rgb="FFCCD5DF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/>
    </x:xf>
    <x:xf numFmtId="201" fontId="5" fillId="6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8" fillId="0" borderId="0" xfId="0" applyNumberFormat="1" applyFont="1" applyFill="1" applyBorder="1"/>
    <x:xf numFmtId="202" fontId="7" fillId="0" borderId="0" xfId="0" applyNumberFormat="1" applyFont="1" applyFill="1" applyBorder="1"/>
    <x:xf numFmtId="200" fontId="7" fillId="0" borderId="0" xfId="0" applyNumberFormat="1" applyFont="1" applyFill="1" applyBorder="1"/>
    <x:xf numFmtId="203" fontId="7" fillId="0" borderId="0" xfId="0" applyNumberFormat="1" applyFont="1" applyFill="1" applyBorder="1"/>
    <x:xf numFmtId="201" fontId="8" fillId="0" borderId="0" xfId="0" applyNumberFormat="1" applyFont="1" applyFill="1" applyBorder="1"/>
    <x:xf numFmtId="0" fontId="9" fillId="3" borderId="0" xfId="0" applyNumberFormat="1" applyFont="1" applyFill="1" applyBorder="1"/>
    <x:xf numFmtId="0" fontId="9" fillId="3" borderId="4" xfId="0" applyNumberFormat="1" applyFont="1" applyFill="1" applyBorder="1"/>
    <x:xf numFmtId="0" fontId="9" fillId="3" borderId="2" xfId="0" applyNumberFormat="1" applyFont="1" applyFill="1" applyBorder="1"/>
    <x:xf numFmtId="0" fontId="9" fillId="3" borderId="5" xfId="0" applyNumberFormat="1" applyFont="1" applyFill="1" applyBorder="1"/>
    <x:xf numFmtId="0" fontId="10" fillId="0" borderId="0" xfId="0" applyNumberFormat="1" applyFont="1" applyFill="1" applyBorder="1"/>
    <x:xf numFmtId="0" fontId="10" fillId="0" borderId="4" xfId="0" applyNumberFormat="1" applyFont="1" applyFill="1" applyBorder="1"/>
    <x:xf numFmtId="0" fontId="10" fillId="0" borderId="2" xfId="0" applyNumberFormat="1" applyFont="1" applyFill="1" applyBorder="1"/>
    <x:xf numFmtId="0" fontId="10" fillId="0" borderId="5" xfId="0" applyNumberFormat="1" applyFont="1" applyFill="1" applyBorder="1"/>
    <x:xf numFmtId="0" fontId="10" fillId="0" borderId="4" xfId="0" applyNumberFormat="1" applyFont="1" applyFill="1" applyBorder="1" applyAlignment="1">
      <x:alignment wrapText="1"/>
    </x:xf>
    <x:xf numFmtId="0" fontId="10" fillId="0" borderId="2" xfId="0" applyNumberFormat="1" applyFont="1" applyFill="1" applyBorder="1" applyAlignment="1">
      <x:alignment wrapText="1"/>
    </x:xf>
    <x:xf numFmtId="0" fontId="10" fillId="0" borderId="5" xfId="0" applyNumberFormat="1" applyFont="1" applyFill="1" applyBorder="1" applyAlignment="1">
      <x:alignment wrapText="1"/>
    </x:xf>
    <x:xf numFmtId="202" fontId="10" fillId="0" borderId="2" xfId="0" applyNumberFormat="1" applyFont="1" applyFill="1" applyBorder="1" applyAlignment="1">
      <x:alignment wrapText="1"/>
    </x:xf>
    <x:xf numFmtId="200" fontId="10" fillId="0" borderId="2" xfId="0" applyNumberFormat="1" applyFont="1" applyFill="1" applyBorder="1" applyAlignment="1">
      <x:alignment wrapText="1"/>
    </x:xf>
    <x:xf numFmtId="203" fontId="10" fillId="0" borderId="2" xfId="0" applyNumberFormat="1" applyFont="1" applyFill="1" applyBorder="1" applyAlignment="1">
      <x:alignment wrapText="1"/>
    </x:xf>
    <x:xf numFmtId="201" fontId="10" fillId="0" borderId="2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</x:cellXfs>
  <x:cellStyles count="1">
    <x:cellStyle name="Normal" xfId="0"/>
  </x:cellStyles>
  <x:dxfs count="2"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81d6a03f43436a" /><Relationship Type="http://schemas.openxmlformats.org/officeDocument/2006/relationships/theme" Target="/xl/theme/theme1.xml" Id="Rbf8250310dc446de" /><Relationship Type="http://schemas.openxmlformats.org/officeDocument/2006/relationships/sharedStrings" Target="/xl/sharedStrings.xml" Id="R6d28d0ee1b3640b5" /><Relationship Type="http://schemas.openxmlformats.org/officeDocument/2006/relationships/worksheet" Target="/xl/worksheets/sheet1.xml" Id="R209f00ac58ba4bfd" /><Relationship Type="http://schemas.openxmlformats.org/officeDocument/2006/relationships/worksheet" Target="/xl/worksheets/sheet2.xml" Id="Rf51a889b1a7f4027" /><Relationship Type="http://schemas.openxmlformats.org/officeDocument/2006/relationships/worksheet" Target="/xl/worksheets/sheet3.xml" Id="R6b6d26b547cf48c8" /><Relationship Type="http://schemas.openxmlformats.org/officeDocument/2006/relationships/worksheet" Target="/xl/worksheets/sheet4.xml" Id="R9e0c98700761402c" /></Relationships>
</file>

<file path=xl/tables/table1.xml><?xml version="1.0" encoding="utf-8"?>
<x:table xmlns:x="http://schemas.openxmlformats.org/spreadsheetml/2006/main" id="1" name="PrecedentTransactionsTable" displayName="PrecedentTransactionsTable" ref="A6:AC56" headerRowCount="1">
  <x:tableColumns count="29">
    <x:tableColumn id="1" name="Deal ID"/>
    <x:tableColumn id="2" name="Announced Date"/>
    <x:tableColumn id="3" name="Type"/>
    <x:tableColumn id="4" name="Status"/>
    <x:tableColumn id="5" name="Target / Issuer"/>
    <x:tableColumn id="6" name="Acquirer / Investor"/>
    <x:tableColumn id="7" name="Sector"/>
    <x:tableColumn id="8" name="Geography"/>
    <x:tableColumn id="9" name="Transaction Value"/>
    <x:tableColumn id="10" name="Enterprise Value"/>
    <x:tableColumn id="11" name="Currency"/>
    <x:tableColumn id="12" name="Stake %"/>
    <x:tableColumn id="13" name="Payment Form"/>
    <x:tableColumn id="14" name="Advisors"/>
    <x:tableColumn id="15" name="Revenue LTM"/>
    <x:tableColumn id="16" name="EBITDA LTM"/>
    <x:tableColumn id="17" name="Financials As Of"/>
    <x:tableColumn id="18" name="Financials Currency"/>
    <x:tableColumn id="19" name="EV / Revenue"/>
    <x:tableColumn id="20" name="EV / EBITDA"/>
    <x:tableColumn id="21" name="Instrument"/>
    <x:tableColumn id="22" name="Rationale / Use of Proceeds"/>
    <x:tableColumn id="23" name="Score"/>
    <x:tableColumn id="24" name="Evidence"/>
    <x:tableColumn id="25" name="Coverage"/>
    <x:tableColumn id="26" name="Source"/>
    <x:tableColumn id="27" name="Source URL"/>
    <x:tableColumn id="28" name="Headline"/>
    <x:tableColumn id="29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4f7c49853e947b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5" hidden="0" customWidth="1"/>
    <x:col min="5" max="5" width="25" hidden="0" customWidth="1"/>
    <x:col min="6" max="6" width="17" hidden="0" customWidth="1"/>
    <x:col min="7" max="7" width="17" hidden="0" customWidth="1"/>
    <x:col min="8" max="8" width="24" hidden="0" customWidth="1"/>
  </x:cols>
  <x:sheetData>
    <x:row r="1" ht="32" customHeight="1">
      <x:c r="A1" s="3" t="str">
        <x:v>DEAL MARKETS COPILOT — PRECEDENT TRANSACTIONS</x:v>
      </x:c>
      <x:c r="B1" s="3"/>
      <x:c r="C1" s="3"/>
      <x:c r="D1" s="3"/>
      <x:c r="E1" s="3"/>
      <x:c r="F1" s="3"/>
      <x:c r="G1" s="3"/>
      <x:c r="H1" s="3"/>
    </x:row>
    <x:row r="2" ht="25" customHeight="1">
      <x:c r="A2" s="6" t="str">
        <x:v>Screening-grade database | As of 2026-06-28 | N/M means insufficient disclosed data</x:v>
      </x:c>
      <x:c r="B2" s="6"/>
      <x:c r="C2" s="6"/>
      <x:c r="D2" s="6"/>
      <x:c r="E2" s="6"/>
      <x:c r="F2" s="6"/>
      <x:c r="G2" s="6"/>
      <x:c r="H2" s="6"/>
    </x:row>
    <x:row r="4" ht="22" customHeight="1">
      <x:c r="A4" s="9" t="str">
        <x:v>DATABASE SNAPSHOT</x:v>
      </x:c>
      <x:c r="B4" s="9"/>
      <x:c r="C4" s="9"/>
      <x:c r="D4" s="9"/>
      <x:c r="E4" s="9"/>
      <x:c r="F4" s="9"/>
      <x:c r="G4" s="9"/>
      <x:c r="H4" s="9"/>
    </x:row>
    <x:row r="6" ht="32" customHeight="1">
      <x:c r="A6" s="17" t="str">
        <x:v>Total deals</x:v>
      </x:c>
      <x:c r="B6" s="18" t="str">
        <x:v>M&amp;A</x:v>
      </x:c>
      <x:c r="C6" s="18" t="str">
        <x:v>ECM</x:v>
      </x:c>
      <x:c r="D6" s="18" t="str">
        <x:v>DCM</x:v>
      </x:c>
      <x:c r="E6" s="18" t="str">
        <x:v>Disclosed value</x:v>
      </x:c>
      <x:c r="F6" s="18" t="str">
        <x:v>High score (≥7)</x:v>
      </x:c>
      <x:c r="G6" s="18" t="str">
        <x:v>Missing value</x:v>
      </x:c>
      <x:c r="H6" s="19" t="str">
        <x:v>QA status</x:v>
      </x:c>
    </x:row>
    <x:row r="7" ht="32" customHeight="1">
      <x:c r="A7" s="28" t="n">
        <x:f>COUNTA('Precedent Transactions'!$A$7:$A$506)</x:f>
        <x:v>50</x:v>
      </x:c>
      <x:c r="B7" s="29" t="n">
        <x:f>COUNTIF('Precedent Transactions'!$C$7:$C$506,"M&amp;A")</x:f>
        <x:v>23</x:v>
      </x:c>
      <x:c r="C7" s="29" t="n">
        <x:f>COUNTIF('Precedent Transactions'!$C$7:$C$506,"ECM")</x:f>
        <x:v>4</x:v>
      </x:c>
      <x:c r="D7" s="29" t="n">
        <x:f>COUNTIF('Precedent Transactions'!$C$7:$C$506,"DCM")</x:f>
        <x:v>23</x:v>
      </x:c>
      <x:c r="E7" s="31" t="n">
        <x:f>SUM('Precedent Transactions'!$I$7:$I$506)</x:f>
        <x:v>589300000000</x:v>
      </x:c>
      <x:c r="F7" s="29" t="n">
        <x:f>COUNTIF('Precedent Transactions'!$W$7:$W$506,"&gt;=7")</x:f>
        <x:v>10</x:v>
      </x:c>
      <x:c r="G7" s="29" t="n">
        <x:f>COUNTBLANK('Precedent Transactions'!$I$7:$I$506)-COUNTBLANK('Precedent Transactions'!$A$7:$A$506)</x:f>
        <x:v>33</x:v>
      </x:c>
      <x:c r="H7" s="30" t="str">
        <x:f>'Sources &amp; QA'!$F$31</x:f>
        <x:v>REVIEW</x:v>
      </x:c>
    </x:row>
    <x:row r="10" ht="22" customHeight="1">
      <x:c r="A10" s="9" t="str">
        <x:v>PRECEDENT VALUATION — VALID M&amp;A OBSERVATIONS ONLY</x:v>
      </x:c>
      <x:c r="B10" s="9"/>
      <x:c r="C10" s="9"/>
      <x:c r="D10" s="9"/>
      <x:c r="E10" s="9"/>
      <x:c r="F10" s="9"/>
      <x:c r="G10" s="9"/>
      <x:c r="H10" s="9"/>
    </x:row>
    <x:row r="12" ht="32" customHeight="1">
      <x:c r="A12" s="17" t="str">
        <x:v>Median EV / Revenue</x:v>
      </x:c>
      <x:c r="B12" s="18" t="str">
        <x:v>Median EV / EBITDA</x:v>
      </x:c>
      <x:c r="C12" s="18" t="str">
        <x:v>EV / Revenue coverage</x:v>
      </x:c>
      <x:c r="D12" s="19" t="str">
        <x:v>EV / EBITDA coverage</x:v>
      </x:c>
    </x:row>
    <x:row r="13" ht="32" customHeight="1">
      <x:c r="A13" s="35" t="str">
        <x:f>IFERROR(MEDIAN(FILTER('Precedent Transactions'!$S$7:$S$506,('Precedent Transactions'!$C$7:$C$506="M&amp;A")*('Precedent Transactions'!$S$7:$S$506&gt;0))),"N/M")</x:f>
        <x:v>N/M</x:v>
      </x:c>
      <x:c r="B13" s="35" t="str">
        <x:f>IFERROR(MEDIAN(FILTER('Precedent Transactions'!$T$7:$T$506,('Precedent Transactions'!$C$7:$C$506="M&amp;A")*('Precedent Transactions'!$T$7:$T$506&gt;0))),"N/M")</x:f>
        <x:v>N/M</x:v>
      </x:c>
      <x:c r="C13" s="34" t="n">
        <x:f>COUNTIFS('Precedent Transactions'!$C$7:$C$506,"M&amp;A",'Precedent Transactions'!$S$7:$S$506,"&gt;0")</x:f>
        <x:v>0</x:v>
      </x:c>
      <x:c r="D13" s="34" t="n">
        <x:f>COUNTIFS('Precedent Transactions'!$C$7:$C$506,"M&amp;A",'Precedent Transactions'!$T$7:$T$506,"&gt;0")</x:f>
        <x:v>0</x:v>
      </x:c>
    </x:row>
    <x:row r="16" ht="22" customHeight="1">
      <x:c r="A16" s="9" t="str">
        <x:v>LATEST TRANSACTIONS</x:v>
      </x:c>
      <x:c r="B16" s="9"/>
      <x:c r="C16" s="9"/>
      <x:c r="D16" s="9"/>
      <x:c r="E16" s="9"/>
      <x:c r="F16" s="9"/>
      <x:c r="G16" s="9"/>
      <x:c r="H16" s="9"/>
    </x:row>
    <x:row r="18" ht="32" customHeight="1">
      <x:c r="A18" s="17" t="str">
        <x:v>Date</x:v>
      </x:c>
      <x:c r="B18" s="18" t="str">
        <x:v>Type</x:v>
      </x:c>
      <x:c r="C18" s="18" t="str">
        <x:v>Status</x:v>
      </x:c>
      <x:c r="D18" s="18" t="str">
        <x:v>Target / Issuer</x:v>
      </x:c>
      <x:c r="E18" s="18" t="str">
        <x:v>Acquirer</x:v>
      </x:c>
      <x:c r="F18" s="18" t="str">
        <x:v>Value</x:v>
      </x:c>
      <x:c r="G18" s="18" t="str">
        <x:v>Currency</x:v>
      </x:c>
      <x:c r="H18" s="19" t="str">
        <x:v>Source</x:v>
      </x:c>
    </x:row>
    <x:row r="19">
      <x:c r="A19" s="36" t="n">
        <x:v>46201</x:v>
      </x:c>
      <x:c r="B19" t="str">
        <x:v>DCM</x:v>
      </x:c>
      <x:c r="C19" t="str">
        <x:v>Completed</x:v>
      </x:c>
      <x:c r="D19" t="str">
        <x:v>MTSS</x:v>
      </x:c>
      <x:c r="E19" t="str">
        <x:v>Not applicable</x:v>
      </x:c>
      <x:c r="F19" s="37" t="n">
        <x:v>20000000000</x:v>
      </x:c>
      <x:c r="G19" t="str">
        <x:v>RUB</x:v>
      </x:c>
      <x:c r="H19" t="str">
        <x:v>MTS Investor Relations</x:v>
      </x:c>
    </x:row>
    <x:row r="20">
      <x:c r="A20" s="36" t="n">
        <x:v>46199</x:v>
      </x:c>
      <x:c r="B20" t="str">
        <x:v>DCM</x:v>
      </x:c>
      <x:c r="C20" t="str">
        <x:v>Reported</x:v>
      </x:c>
      <x:c r="D20" t="str">
        <x:v>Not disclosed</x:v>
      </x:c>
      <x:c r="E20" t="str">
        <x:v>Not applicable</x:v>
      </x:c>
      <x:c r="F20" s="37"/>
      <x:c r="G20" t="str">
        <x:v>NOT DISCLOSED</x:v>
      </x:c>
      <x:c r="H20" t="str">
        <x:v>MOEX disclosure</x:v>
      </x:c>
    </x:row>
    <x:row r="21">
      <x:c r="A21" s="36" t="n">
        <x:v>46199</x:v>
      </x:c>
      <x:c r="B21" t="str">
        <x:v>DCM</x:v>
      </x:c>
      <x:c r="C21" t="str">
        <x:v>Reported</x:v>
      </x:c>
      <x:c r="D21" t="str">
        <x:v>О регистрации проспекта биржевых облигаций</x:v>
      </x:c>
      <x:c r="E21" t="str">
        <x:v>Not applicable</x:v>
      </x:c>
      <x:c r="F21" s="37"/>
      <x:c r="G21" t="str">
        <x:v>NOT DISCLOSED</x:v>
      </x:c>
      <x:c r="H21" t="str">
        <x:v>MOEX disclosure</x:v>
      </x:c>
    </x:row>
    <x:row r="22">
      <x:c r="A22" s="36" t="n">
        <x:v>46199</x:v>
      </x:c>
      <x:c r="B22" t="str">
        <x:v>DCM</x:v>
      </x:c>
      <x:c r="C22" t="str">
        <x:v>Reported</x:v>
      </x:c>
      <x:c r="D22" t="str">
        <x:v>О регистрации изменений в эмиссионные документы</x:v>
      </x:c>
      <x:c r="E22" t="str">
        <x:v>Not applicable</x:v>
      </x:c>
      <x:c r="F22" s="37"/>
      <x:c r="G22" t="str">
        <x:v>NOT DISCLOSED</x:v>
      </x:c>
      <x:c r="H22" t="str">
        <x:v>MOEX disclosure</x:v>
      </x:c>
    </x:row>
    <x:row r="23">
      <x:c r="A23" s="36" t="n">
        <x:v>46199</x:v>
      </x:c>
      <x:c r="B23" t="str">
        <x:v>DCM</x:v>
      </x:c>
      <x:c r="C23" t="str">
        <x:v>Reported</x:v>
      </x:c>
      <x:c r="D23" t="str">
        <x:v>Not disclosed</x:v>
      </x:c>
      <x:c r="E23" t="str">
        <x:v>Not applicable</x:v>
      </x:c>
      <x:c r="F23" s="37"/>
      <x:c r="G23" t="str">
        <x:v>NOT DISCLOSED</x:v>
      </x:c>
      <x:c r="H23" t="str">
        <x:v>MOEX disclosure</x:v>
      </x:c>
    </x:row>
    <x:row r="24">
      <x:c r="A24" s="36" t="n">
        <x:v>46199</x:v>
      </x:c>
      <x:c r="B24" t="str">
        <x:v>DCM</x:v>
      </x:c>
      <x:c r="C24" t="str">
        <x:v>Reported</x:v>
      </x:c>
      <x:c r="D24" t="str">
        <x:v>Not disclosed</x:v>
      </x:c>
      <x:c r="E24" t="str">
        <x:v>Not applicable</x:v>
      </x:c>
      <x:c r="F24" s="37"/>
      <x:c r="G24" t="str">
        <x:v>NOT DISCLOSED</x:v>
      </x:c>
      <x:c r="H24" t="str">
        <x:v>MOEX disclosure</x:v>
      </x:c>
    </x:row>
    <x:row r="25">
      <x:c r="A25" s="36" t="n">
        <x:v>46199</x:v>
      </x:c>
      <x:c r="B25" t="str">
        <x:v>DCM</x:v>
      </x:c>
      <x:c r="C25" t="str">
        <x:v>Reported</x:v>
      </x:c>
      <x:c r="D25" t="str">
        <x:v>О проведении выкупа облигаций с 29 июня по 03 июля 2026 года</x:v>
      </x:c>
      <x:c r="E25" t="str">
        <x:v>Not applicable</x:v>
      </x:c>
      <x:c r="F25" s="37"/>
      <x:c r="G25" t="str">
        <x:v>NOT DISCLOSED</x:v>
      </x:c>
      <x:c r="H25" t="str">
        <x:v>MOEX disclosure</x:v>
      </x:c>
    </x:row>
    <x:row r="26">
      <x:c r="A26" s="36" t="n">
        <x:v>46199</x:v>
      </x:c>
      <x:c r="B26" t="str">
        <x:v>DCM</x:v>
      </x:c>
      <x:c r="C26" t="str">
        <x:v>Reported</x:v>
      </x:c>
      <x:c r="D26" t="str">
        <x:v>Not disclosed</x:v>
      </x:c>
      <x:c r="E26" t="str">
        <x:v>Not applicable</x:v>
      </x:c>
      <x:c r="F26" s="37"/>
      <x:c r="G26" t="str">
        <x:v>NOT DISCLOSED</x:v>
      </x:c>
      <x:c r="H26" t="str">
        <x:v>MOEX disclosure</x:v>
      </x:c>
    </x:row>
    <x:row r="27">
      <x:c r="A27" s="36" t="n">
        <x:v>46197</x:v>
      </x:c>
      <x:c r="B27" t="str">
        <x:v>DCM</x:v>
      </x:c>
      <x:c r="C27" t="str">
        <x:v>Announced</x:v>
      </x:c>
      <x:c r="D27" t="str">
        <x:v>Selectel</x:v>
      </x:c>
      <x:c r="E27" t="str">
        <x:v>Not applicable</x:v>
      </x:c>
      <x:c r="F27" s="37" t="n">
        <x:v>5000000000</x:v>
      </x:c>
      <x:c r="G27" t="str">
        <x:v>RUB</x:v>
      </x:c>
      <x:c r="H27" t="str">
        <x:v>ComNews.ru</x:v>
      </x:c>
    </x:row>
    <x:row r="28">
      <x:c r="A28" s="36" t="n">
        <x:v>46192</x:v>
      </x:c>
      <x:c r="B28" t="str">
        <x:v>DCM</x:v>
      </x:c>
      <x:c r="C28" t="str">
        <x:v>Issued</x:v>
      </x:c>
      <x:c r="D28" t="str">
        <x:v>Yandex</x:v>
      </x:c>
      <x:c r="E28" t="str">
        <x:v>Not applicable</x:v>
      </x:c>
      <x:c r="F28" s="37" t="n">
        <x:v>60000000000</x:v>
      </x:c>
      <x:c r="G28" t="str">
        <x:v>RUB</x:v>
      </x:c>
      <x:c r="H28" t="str">
        <x:v>Yandex Investor Relations</x:v>
      </x:c>
    </x:row>
  </x:sheetData>
  <x:mergeCells>
    <x:mergeCell ref="A1:H1"/>
    <x:mergeCell ref="A2:H2"/>
    <x:mergeCell ref="A4:H4"/>
    <x:mergeCell ref="A10:H10"/>
    <x:mergeCell ref="A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10" hidden="0" customWidth="1"/>
    <x:col min="4" max="4" width="14" hidden="0" customWidth="1"/>
    <x:col min="5" max="5" width="24" hidden="0" customWidth="1"/>
    <x:col min="6" max="6" width="24" hidden="0" customWidth="1"/>
    <x:col min="7" max="7" width="16" hidden="0" customWidth="1"/>
    <x:col min="8" max="8" width="16" hidden="0" customWidth="1"/>
    <x:col min="9" max="9" width="18" hidden="0" customWidth="1"/>
    <x:col min="10" max="10" width="18" hidden="0" customWidth="1"/>
    <x:col min="11" max="11" width="10" hidden="0" customWidth="1"/>
    <x:col min="12" max="12" width="11" hidden="0" customWidth="1"/>
    <x:col min="13" max="13" width="18" hidden="0" customWidth="1"/>
    <x:col min="14" max="14" width="30" hidden="0" customWidth="1"/>
    <x:col min="15" max="15" width="18" hidden="0" customWidth="1"/>
    <x:col min="16" max="16" width="18" hidden="0" customWidth="1"/>
    <x:col min="17" max="17" width="18" hidden="0" customWidth="1"/>
    <x:col min="18" max="18" width="16" hidden="0" customWidth="1"/>
    <x:col min="19" max="19" width="14" hidden="0" customWidth="1"/>
    <x:col min="20" max="20" width="14" hidden="0" customWidth="1"/>
    <x:col min="21" max="21" width="22" hidden="0" customWidth="1"/>
    <x:col min="22" max="22" width="34" hidden="0" customWidth="1"/>
    <x:col min="23" max="23" width="9" hidden="0" customWidth="1"/>
    <x:col min="24" max="24" width="13" hidden="0" customWidth="1"/>
    <x:col min="25" max="25" width="14" hidden="0" customWidth="1"/>
    <x:col min="26" max="26" width="22" hidden="0" customWidth="1"/>
    <x:col min="27" max="27" width="42" hidden="0" customWidth="1"/>
    <x:col min="28" max="28" width="52" hidden="0" customWidth="1"/>
    <x:col min="29" max="29" width="44" hidden="0" customWidth="1"/>
  </x:cols>
  <x:sheetData>
    <x:row r="1" ht="32" customHeight="1">
      <x:c r="A1" s="3" t="str">
        <x:v>PRECEDENT TRANSACTIONS DATABASE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2" ht="25" customHeight="1">
      <x:c r="A2" s="6" t="str">
        <x:v>Blank economics mean not publicly disclosed, not zero; valuation multiples require aligned EV and financial currencies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  <x:c r="AB2" s="6"/>
      <x:c r="AC2" s="6"/>
    </x:row>
    <x:row r="4">
      <x:c r="A4" s="40" t="str">
        <x:v>Green text = sourced/imported field · black formula cells = calculated output · verify primary transaction documents before use</x:v>
      </x:c>
      <x:c r="B4" s="40"/>
      <x:c r="C4" s="40"/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  <x:c r="O4" s="40"/>
      <x:c r="P4" s="40"/>
      <x:c r="Q4" s="40"/>
      <x:c r="R4" s="40"/>
      <x:c r="S4" s="40"/>
      <x:c r="T4" s="40"/>
      <x:c r="U4" s="40"/>
      <x:c r="V4" s="40"/>
      <x:c r="W4" s="40"/>
      <x:c r="X4" s="40"/>
      <x:c r="Y4" s="40"/>
      <x:c r="Z4" s="40"/>
      <x:c r="AA4" s="40"/>
      <x:c r="AB4" s="40"/>
      <x:c r="AC4" s="40"/>
    </x:row>
    <x:row r="6" ht="32" customHeight="1">
      <x:c r="A6" s="17" t="str">
        <x:v>Deal ID</x:v>
      </x:c>
      <x:c r="B6" s="18" t="str">
        <x:v>Announced Date</x:v>
      </x:c>
      <x:c r="C6" s="18" t="str">
        <x:v>Type</x:v>
      </x:c>
      <x:c r="D6" s="18" t="str">
        <x:v>Status</x:v>
      </x:c>
      <x:c r="E6" s="18" t="str">
        <x:v>Target / Issuer</x:v>
      </x:c>
      <x:c r="F6" s="18" t="str">
        <x:v>Acquirer / Investor</x:v>
      </x:c>
      <x:c r="G6" s="18" t="str">
        <x:v>Sector</x:v>
      </x:c>
      <x:c r="H6" s="18" t="str">
        <x:v>Geography</x:v>
      </x:c>
      <x:c r="I6" s="18" t="str">
        <x:v>Transaction Value</x:v>
      </x:c>
      <x:c r="J6" s="18" t="str">
        <x:v>Enterprise Value</x:v>
      </x:c>
      <x:c r="K6" s="18" t="str">
        <x:v>Currency</x:v>
      </x:c>
      <x:c r="L6" s="18" t="str">
        <x:v>Stake %</x:v>
      </x:c>
      <x:c r="M6" s="18" t="str">
        <x:v>Payment Form</x:v>
      </x:c>
      <x:c r="N6" s="18" t="str">
        <x:v>Advisors</x:v>
      </x:c>
      <x:c r="O6" s="18" t="str">
        <x:v>Revenue LTM</x:v>
      </x:c>
      <x:c r="P6" s="18" t="str">
        <x:v>EBITDA LTM</x:v>
      </x:c>
      <x:c r="Q6" s="18" t="str">
        <x:v>Financials As Of</x:v>
      </x:c>
      <x:c r="R6" s="18" t="str">
        <x:v>Financials Currency</x:v>
      </x:c>
      <x:c r="S6" s="18" t="str">
        <x:v>EV / Revenue</x:v>
      </x:c>
      <x:c r="T6" s="18" t="str">
        <x:v>EV / EBITDA</x:v>
      </x:c>
      <x:c r="U6" s="18" t="str">
        <x:v>Instrument</x:v>
      </x:c>
      <x:c r="V6" s="18" t="str">
        <x:v>Rationale / Use of Proceeds</x:v>
      </x:c>
      <x:c r="W6" s="18" t="str">
        <x:v>Score</x:v>
      </x:c>
      <x:c r="X6" s="18" t="str">
        <x:v>Evidence</x:v>
      </x:c>
      <x:c r="Y6" s="18" t="str">
        <x:v>Coverage</x:v>
      </x:c>
      <x:c r="Z6" s="18" t="str">
        <x:v>Source</x:v>
      </x:c>
      <x:c r="AA6" s="18" t="str">
        <x:v>Source URL</x:v>
      </x:c>
      <x:c r="AB6" s="18" t="str">
        <x:v>Headline</x:v>
      </x:c>
      <x:c r="AC6" s="19" t="str">
        <x:v>Notes</x:v>
      </x:c>
    </x:row>
    <x:row r="7">
      <x:c r="A7" s="41" t="str">
        <x:v>DL-4d8f7bcb385b1c88</x:v>
      </x:c>
      <x:c r="B7" s="43" t="n">
        <x:v>46201</x:v>
      </x:c>
      <x:c r="C7" s="41" t="str">
        <x:v>DCM</x:v>
      </x:c>
      <x:c r="D7" s="41" t="str">
        <x:v>Completed</x:v>
      </x:c>
      <x:c r="E7" s="41" t="str">
        <x:v>MTSS</x:v>
      </x:c>
      <x:c r="F7" s="41" t="str">
        <x:v>Not applicable</x:v>
      </x:c>
      <x:c r="G7" s="41" t="str">
        <x:v>Not classified</x:v>
      </x:c>
      <x:c r="H7" s="41" t="str">
        <x:v>Russia</x:v>
      </x:c>
      <x:c r="I7" s="44" t="n">
        <x:v>20000000000</x:v>
      </x:c>
      <x:c r="J7" s="44"/>
      <x:c r="K7" s="41" t="str">
        <x:v>RUB</x:v>
      </x:c>
      <x:c r="L7" s="45"/>
      <x:c r="M7" s="41" t="str">
        <x:v>Not applicable</x:v>
      </x:c>
      <x:c r="N7" s="41" t="str">
        <x:v>Not disclosed</x:v>
      </x:c>
      <x:c r="O7" s="44"/>
      <x:c r="P7" s="44"/>
      <x:c r="Q7" s="41" t="str">
        <x:v>Not disclosed</x:v>
      </x:c>
      <x:c r="R7" s="41" t="str">
        <x:v>Not disclosed</x:v>
      </x:c>
      <x:c r="S7" s="46" t="str">
        <x:f>IFERROR(IF(AND($J7&gt;0,$O7&gt;0,$K7=$R7),$J7/$O7,""),"")</x:f>
      </x:c>
      <x:c r="T7" s="46" t="str">
        <x:f>IFERROR(IF(AND($J7&gt;0,$P7&gt;0,$K7=$R7),$J7/$P7,""),"")</x:f>
      </x:c>
      <x:c r="U7" s="41" t="str">
        <x:v>Bonds</x:v>
      </x:c>
      <x:c r="V7" s="41" t="str">
        <x:v>Not disclosed</x:v>
      </x:c>
      <x:c r="W7" s="41" t="n">
        <x:v>6</x:v>
      </x:c>
      <x:c r="X7" s="41" t="str">
        <x:v>confirmed</x:v>
      </x:c>
      <x:c r="Y7" s="41" t="str"/>
      <x:c r="Z7" s="41" t="str">
        <x:v>MTS Investor Relations</x:v>
      </x:c>
      <x:c r="AA7" s="41" t="str">
        <x:v>https://ir.mts.ru/news_and_events/corporate_releases/details/742414</x:v>
      </x:c>
      <x:c r="AB7" s="41" t="str">
        <x:v>МТС успешно закрыла книгу биржевых облигаций 003Р-03 на 20 млрд руб.</x:v>
      </x:c>
      <x:c r="AC7" s="41" t="str">
        <x:v>Screening record; verify against primary transaction documents.</x:v>
      </x:c>
    </x:row>
    <x:row r="8">
      <x:c r="A8" s="41" t="str">
        <x:v>DL-moex-101492</x:v>
      </x:c>
      <x:c r="B8" s="43" t="n">
        <x:v>46199</x:v>
      </x:c>
      <x:c r="C8" s="41" t="str">
        <x:v>DCM</x:v>
      </x:c>
      <x:c r="D8" s="41" t="str">
        <x:v>Reported</x:v>
      </x:c>
      <x:c r="E8" s="41" t="str">
        <x:v>Not disclosed</x:v>
      </x:c>
      <x:c r="F8" s="41" t="str">
        <x:v>Not applicable</x:v>
      </x:c>
      <x:c r="G8" s="41" t="str">
        <x:v>Not classified</x:v>
      </x:c>
      <x:c r="H8" s="41" t="str">
        <x:v>Russia</x:v>
      </x:c>
      <x:c r="I8" s="44"/>
      <x:c r="J8" s="44"/>
      <x:c r="K8" s="41" t="str">
        <x:v>NOT DISCLOSED</x:v>
      </x:c>
      <x:c r="L8" s="45"/>
      <x:c r="M8" s="41" t="str">
        <x:v>Not applicable</x:v>
      </x:c>
      <x:c r="N8" s="41" t="str">
        <x:v>Not disclosed</x:v>
      </x:c>
      <x:c r="O8" s="44"/>
      <x:c r="P8" s="44"/>
      <x:c r="Q8" s="41" t="str">
        <x:v>Not disclosed</x:v>
      </x:c>
      <x:c r="R8" s="41" t="str">
        <x:v>Not disclosed</x:v>
      </x:c>
      <x:c r="S8" s="46" t="str">
        <x:f>IFERROR(IF(AND($J8&gt;0,$O8&gt;0,$K8=$R8),$J8/$O8,""),"")</x:f>
      </x:c>
      <x:c r="T8" s="46" t="str">
        <x:f>IFERROR(IF(AND($J8&gt;0,$P8&gt;0,$K8=$R8),$J8/$P8,""),"")</x:f>
      </x:c>
      <x:c r="U8" s="41" t="str">
        <x:v>Bonds</x:v>
      </x:c>
      <x:c r="V8" s="41" t="str">
        <x:v>Not disclosed</x:v>
      </x:c>
      <x:c r="W8" s="41" t="n">
        <x:v>7</x:v>
      </x:c>
      <x:c r="X8" s="41" t="str">
        <x:v>confirmed</x:v>
      </x:c>
      <x:c r="Y8" s="41" t="str"/>
      <x:c r="Z8" s="41" t="str">
        <x:v>MOEX disclosure</x:v>
      </x:c>
      <x:c r="AA8" s="41" t="str">
        <x:v>https://www.moex.com/n101492</x:v>
      </x:c>
      <x:c r="AB8" s="41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  <x:c r="AC8" s="41" t="str">
        <x:v>Screening record; verify against primary transaction documents.</x:v>
      </x:c>
    </x:row>
    <x:row r="9">
      <x:c r="A9" s="41" t="str">
        <x:v>DL-moex-101473</x:v>
      </x:c>
      <x:c r="B9" s="43" t="n">
        <x:v>46199</x:v>
      </x:c>
      <x:c r="C9" s="41" t="str">
        <x:v>DCM</x:v>
      </x:c>
      <x:c r="D9" s="41" t="str">
        <x:v>Reported</x:v>
      </x:c>
      <x:c r="E9" s="41" t="str">
        <x:v>О регистрации проспекта биржевых облигаций</x:v>
      </x:c>
      <x:c r="F9" s="41" t="str">
        <x:v>Not applicable</x:v>
      </x:c>
      <x:c r="G9" s="41" t="str">
        <x:v>Not classified</x:v>
      </x:c>
      <x:c r="H9" s="41" t="str">
        <x:v>Russia</x:v>
      </x:c>
      <x:c r="I9" s="44"/>
      <x:c r="J9" s="44"/>
      <x:c r="K9" s="41" t="str">
        <x:v>NOT DISCLOSED</x:v>
      </x:c>
      <x:c r="L9" s="45"/>
      <x:c r="M9" s="41" t="str">
        <x:v>Not applicable</x:v>
      </x:c>
      <x:c r="N9" s="41" t="str">
        <x:v>Not disclosed</x:v>
      </x:c>
      <x:c r="O9" s="44"/>
      <x:c r="P9" s="44"/>
      <x:c r="Q9" s="41" t="str">
        <x:v>Not disclosed</x:v>
      </x:c>
      <x:c r="R9" s="41" t="str">
        <x:v>Not disclosed</x:v>
      </x:c>
      <x:c r="S9" s="46" t="str">
        <x:f>IFERROR(IF(AND($J9&gt;0,$O9&gt;0,$K9=$R9),$J9/$O9,""),"")</x:f>
      </x:c>
      <x:c r="T9" s="46" t="str">
        <x:f>IFERROR(IF(AND($J9&gt;0,$P9&gt;0,$K9=$R9),$J9/$P9,""),"")</x:f>
      </x:c>
      <x:c r="U9" s="41" t="str">
        <x:v>Bonds</x:v>
      </x:c>
      <x:c r="V9" s="41" t="str">
        <x:v>Not disclosed</x:v>
      </x:c>
      <x:c r="W9" s="41" t="n">
        <x:v>7</x:v>
      </x:c>
      <x:c r="X9" s="41" t="str">
        <x:v>confirmed</x:v>
      </x:c>
      <x:c r="Y9" s="41" t="str"/>
      <x:c r="Z9" s="41" t="str">
        <x:v>MOEX disclosure</x:v>
      </x:c>
      <x:c r="AA9" s="41" t="str">
        <x:v>https://www.moex.com/n101473</x:v>
      </x:c>
      <x:c r="AB9" s="41" t="str">
        <x:v>О регистрации проспекта биржевых облигаций</x:v>
      </x:c>
      <x:c r="AC9" s="41" t="str">
        <x:v>Screening record; verify against primary transaction documents.</x:v>
      </x:c>
    </x:row>
    <x:row r="10">
      <x:c r="A10" s="41" t="str">
        <x:v>DL-moex-101468</x:v>
      </x:c>
      <x:c r="B10" s="43" t="n">
        <x:v>46199</x:v>
      </x:c>
      <x:c r="C10" s="41" t="str">
        <x:v>DCM</x:v>
      </x:c>
      <x:c r="D10" s="41" t="str">
        <x:v>Reported</x:v>
      </x:c>
      <x:c r="E10" s="41" t="str">
        <x:v>О регистрации изменений в эмиссионные документы</x:v>
      </x:c>
      <x:c r="F10" s="41" t="str">
        <x:v>Not applicable</x:v>
      </x:c>
      <x:c r="G10" s="41" t="str">
        <x:v>Not classified</x:v>
      </x:c>
      <x:c r="H10" s="41" t="str">
        <x:v>Russia</x:v>
      </x:c>
      <x:c r="I10" s="44"/>
      <x:c r="J10" s="44"/>
      <x:c r="K10" s="41" t="str">
        <x:v>NOT DISCLOSED</x:v>
      </x:c>
      <x:c r="L10" s="45"/>
      <x:c r="M10" s="41" t="str">
        <x:v>Not applicable</x:v>
      </x:c>
      <x:c r="N10" s="41" t="str">
        <x:v>Not disclosed</x:v>
      </x:c>
      <x:c r="O10" s="44"/>
      <x:c r="P10" s="44"/>
      <x:c r="Q10" s="41" t="str">
        <x:v>Not disclosed</x:v>
      </x:c>
      <x:c r="R10" s="41" t="str">
        <x:v>Not disclosed</x:v>
      </x:c>
      <x:c r="S10" s="46" t="str">
        <x:f>IFERROR(IF(AND($J10&gt;0,$O10&gt;0,$K10=$R10),$J10/$O10,""),"")</x:f>
      </x:c>
      <x:c r="T10" s="46" t="str">
        <x:f>IFERROR(IF(AND($J10&gt;0,$P10&gt;0,$K10=$R10),$J10/$P10,""),"")</x:f>
      </x:c>
      <x:c r="U10" s="41" t="str">
        <x:v>Bonds</x:v>
      </x:c>
      <x:c r="V10" s="41" t="str">
        <x:v>Not disclosed</x:v>
      </x:c>
      <x:c r="W10" s="41" t="n">
        <x:v>7</x:v>
      </x:c>
      <x:c r="X10" s="41" t="str">
        <x:v>confirmed</x:v>
      </x:c>
      <x:c r="Y10" s="41" t="str"/>
      <x:c r="Z10" s="41" t="str">
        <x:v>MOEX disclosure</x:v>
      </x:c>
      <x:c r="AA10" s="41" t="str">
        <x:v>https://www.moex.com/n101468</x:v>
      </x:c>
      <x:c r="AB10" s="41" t="str">
        <x:v>О регистрации изменений в эмиссионные документы</x:v>
      </x:c>
      <x:c r="AC10" s="41" t="str">
        <x:v>Screening record; verify against primary transaction documents.</x:v>
      </x:c>
    </x:row>
    <x:row r="11">
      <x:c r="A11" s="41" t="str">
        <x:v>DL-moex-101457</x:v>
      </x:c>
      <x:c r="B11" s="43" t="n">
        <x:v>46199</x:v>
      </x:c>
      <x:c r="C11" s="41" t="str">
        <x:v>DCM</x:v>
      </x:c>
      <x:c r="D11" s="41" t="str">
        <x:v>Reported</x:v>
      </x:c>
      <x:c r="E11" s="41" t="str">
        <x:v>Not disclosed</x:v>
      </x:c>
      <x:c r="F11" s="41" t="str">
        <x:v>Not applicable</x:v>
      </x:c>
      <x:c r="G11" s="41" t="str">
        <x:v>Financials</x:v>
      </x:c>
      <x:c r="H11" s="41" t="str">
        <x:v>Not disclosed</x:v>
      </x:c>
      <x:c r="I11" s="44"/>
      <x:c r="J11" s="44"/>
      <x:c r="K11" s="41" t="str">
        <x:v>NOT DISCLOSED</x:v>
      </x:c>
      <x:c r="L11" s="45"/>
      <x:c r="M11" s="41" t="str">
        <x:v>Not applicable</x:v>
      </x:c>
      <x:c r="N11" s="41" t="str">
        <x:v>Not disclosed</x:v>
      </x:c>
      <x:c r="O11" s="44"/>
      <x:c r="P11" s="44"/>
      <x:c r="Q11" s="41" t="str">
        <x:v>Not disclosed</x:v>
      </x:c>
      <x:c r="R11" s="41" t="str">
        <x:v>Not disclosed</x:v>
      </x:c>
      <x:c r="S11" s="46" t="str">
        <x:f>IFERROR(IF(AND($J11&gt;0,$O11&gt;0,$K11=$R11),$J11/$O11,""),"")</x:f>
      </x:c>
      <x:c r="T11" s="46" t="str">
        <x:f>IFERROR(IF(AND($J11&gt;0,$P11&gt;0,$K11=$R11),$J11/$P11,""),"")</x:f>
      </x:c>
      <x:c r="U11" s="41" t="str">
        <x:v>Bonds</x:v>
      </x:c>
      <x:c r="V11" s="41" t="str">
        <x:v>Not disclosed</x:v>
      </x:c>
      <x:c r="W11" s="41" t="n">
        <x:v>7</x:v>
      </x:c>
      <x:c r="X11" s="41" t="str">
        <x:v>confirmed</x:v>
      </x:c>
      <x:c r="Y11" s="41" t="str"/>
      <x:c r="Z11" s="41" t="str">
        <x:v>MOEX disclosure</x:v>
      </x:c>
      <x:c r="AA11" s="41" t="str">
        <x:v>https://www.moex.com/n101457</x:v>
      </x:c>
      <x:c r="AB11" s="41" t="str">
        <x:v>О порядке сбора заявок и заключения сделок при размещении облигаций серии Б-1-403 Банк ВТБ (публичное акционерное общество) с 29 июня 2026 года</x:v>
      </x:c>
      <x:c r="AC11" s="41" t="str">
        <x:v>Screening record; verify against primary transaction documents.</x:v>
      </x:c>
    </x:row>
    <x:row r="12">
      <x:c r="A12" s="41" t="str">
        <x:v>DL-moex-101454</x:v>
      </x:c>
      <x:c r="B12" s="43" t="n">
        <x:v>46199</x:v>
      </x:c>
      <x:c r="C12" s="41" t="str">
        <x:v>DCM</x:v>
      </x:c>
      <x:c r="D12" s="41" t="str">
        <x:v>Reported</x:v>
      </x:c>
      <x:c r="E12" s="41" t="str">
        <x:v>Not disclosed</x:v>
      </x:c>
      <x:c r="F12" s="41" t="str">
        <x:v>Not applicable</x:v>
      </x:c>
      <x:c r="G12" s="41" t="str">
        <x:v>Financials</x:v>
      </x:c>
      <x:c r="H12" s="41" t="str">
        <x:v>Russia</x:v>
      </x:c>
      <x:c r="I12" s="44"/>
      <x:c r="J12" s="44"/>
      <x:c r="K12" s="41" t="str">
        <x:v>NOT DISCLOSED</x:v>
      </x:c>
      <x:c r="L12" s="45" t="n">
        <x:v>1</x:v>
      </x:c>
      <x:c r="M12" s="41" t="str">
        <x:v>Not applicable</x:v>
      </x:c>
      <x:c r="N12" s="41" t="str">
        <x:v>Not disclosed</x:v>
      </x:c>
      <x:c r="O12" s="44"/>
      <x:c r="P12" s="44"/>
      <x:c r="Q12" s="41" t="str">
        <x:v>Not disclosed</x:v>
      </x:c>
      <x:c r="R12" s="41" t="str">
        <x:v>Not disclosed</x:v>
      </x:c>
      <x:c r="S12" s="46" t="str">
        <x:f>IFERROR(IF(AND($J12&gt;0,$O12&gt;0,$K12=$R12),$J12/$O12,""),"")</x:f>
      </x:c>
      <x:c r="T12" s="46" t="str">
        <x:f>IFERROR(IF(AND($J12&gt;0,$P12&gt;0,$K12=$R12),$J12/$P12,""),"")</x:f>
      </x:c>
      <x:c r="U12" s="41" t="str">
        <x:v>Bonds</x:v>
      </x:c>
      <x:c r="V12" s="41" t="str">
        <x:v>Not disclosed</x:v>
      </x:c>
      <x:c r="W12" s="41" t="n">
        <x:v>7</x:v>
      </x:c>
      <x:c r="X12" s="41" t="str">
        <x:v>confirmed</x:v>
      </x:c>
      <x:c r="Y12" s="41" t="str"/>
      <x:c r="Z12" s="41" t="str">
        <x:v>MOEX disclosure</x:v>
      </x:c>
      <x:c r="AA12" s="41" t="str">
        <x:v>https://www.moex.com/n101454</x:v>
      </x:c>
      <x:c r="AB12" s="41" t="str">
        <x:v>О порядке приобретения облигаций серии 001P-04 ООО "АРЕНЗА-ПРО" с 29 июня 2026 год</x:v>
      </x:c>
      <x:c r="AC12" s="41" t="str">
        <x:v>Screening record; verify against primary transaction documents.</x:v>
      </x:c>
    </x:row>
    <x:row r="13">
      <x:c r="A13" s="41" t="str">
        <x:v>DL-moex-101451</x:v>
      </x:c>
      <x:c r="B13" s="43" t="n">
        <x:v>46199</x:v>
      </x:c>
      <x:c r="C13" s="41" t="str">
        <x:v>DCM</x:v>
      </x:c>
      <x:c r="D13" s="41" t="str">
        <x:v>Reported</x:v>
      </x:c>
      <x:c r="E13" s="41" t="str">
        <x:v>О проведении выкупа облигаций с 29 июня по 03 июля 2026 года</x:v>
      </x:c>
      <x:c r="F13" s="41" t="str">
        <x:v>Not applicable</x:v>
      </x:c>
      <x:c r="G13" s="41" t="str">
        <x:v>Not classified</x:v>
      </x:c>
      <x:c r="H13" s="41" t="str">
        <x:v>Not disclosed</x:v>
      </x:c>
      <x:c r="I13" s="44"/>
      <x:c r="J13" s="44"/>
      <x:c r="K13" s="41" t="str">
        <x:v>NOT DISCLOSED</x:v>
      </x:c>
      <x:c r="L13" s="45"/>
      <x:c r="M13" s="41" t="str">
        <x:v>Not applicable</x:v>
      </x:c>
      <x:c r="N13" s="41" t="str">
        <x:v>Not disclosed</x:v>
      </x:c>
      <x:c r="O13" s="44"/>
      <x:c r="P13" s="44"/>
      <x:c r="Q13" s="41" t="str">
        <x:v>Not disclosed</x:v>
      </x:c>
      <x:c r="R13" s="41" t="str">
        <x:v>Not disclosed</x:v>
      </x:c>
      <x:c r="S13" s="46" t="str">
        <x:f>IFERROR(IF(AND($J13&gt;0,$O13&gt;0,$K13=$R13),$J13/$O13,""),"")</x:f>
      </x:c>
      <x:c r="T13" s="46" t="str">
        <x:f>IFERROR(IF(AND($J13&gt;0,$P13&gt;0,$K13=$R13),$J13/$P13,""),"")</x:f>
      </x:c>
      <x:c r="U13" s="41" t="str">
        <x:v>Bonds</x:v>
      </x:c>
      <x:c r="V13" s="41" t="str">
        <x:v>Not disclosed</x:v>
      </x:c>
      <x:c r="W13" s="41" t="n">
        <x:v>7</x:v>
      </x:c>
      <x:c r="X13" s="41" t="str">
        <x:v>confirmed</x:v>
      </x:c>
      <x:c r="Y13" s="41" t="str"/>
      <x:c r="Z13" s="41" t="str">
        <x:v>MOEX disclosure</x:v>
      </x:c>
      <x:c r="AA13" s="41" t="str">
        <x:v>https://www.moex.com/n101451</x:v>
      </x:c>
      <x:c r="AB13" s="41" t="str">
        <x:v>О проведении выкупа облигаций с 29 июня по 03 июля 2026 года</x:v>
      </x:c>
      <x:c r="AC13" s="41" t="str">
        <x:v>Screening record; verify against primary transaction documents.</x:v>
      </x:c>
    </x:row>
    <x:row r="14">
      <x:c r="A14" s="41" t="str">
        <x:v>DL-moex-101450</x:v>
      </x:c>
      <x:c r="B14" s="43" t="n">
        <x:v>46199</x:v>
      </x:c>
      <x:c r="C14" s="41" t="str">
        <x:v>DCM</x:v>
      </x:c>
      <x:c r="D14" s="41" t="str">
        <x:v>Reported</x:v>
      </x:c>
      <x:c r="E14" s="41" t="str">
        <x:v>Not disclosed</x:v>
      </x:c>
      <x:c r="F14" s="41" t="str">
        <x:v>Not applicable</x:v>
      </x:c>
      <x:c r="G14" s="41" t="str">
        <x:v>Not classified</x:v>
      </x:c>
      <x:c r="H14" s="41" t="str">
        <x:v>Russia</x:v>
      </x:c>
      <x:c r="I14" s="44"/>
      <x:c r="J14" s="44"/>
      <x:c r="K14" s="41" t="str">
        <x:v>NOT DISCLOSED</x:v>
      </x:c>
      <x:c r="L14" s="45"/>
      <x:c r="M14" s="41" t="str">
        <x:v>Not applicable</x:v>
      </x:c>
      <x:c r="N14" s="41" t="str">
        <x:v>Not disclosed</x:v>
      </x:c>
      <x:c r="O14" s="44"/>
      <x:c r="P14" s="44"/>
      <x:c r="Q14" s="41" t="str">
        <x:v>Not disclosed</x:v>
      </x:c>
      <x:c r="R14" s="41" t="str">
        <x:v>Not disclosed</x:v>
      </x:c>
      <x:c r="S14" s="46" t="str">
        <x:f>IFERROR(IF(AND($J14&gt;0,$O14&gt;0,$K14=$R14),$J14/$O14,""),"")</x:f>
      </x:c>
      <x:c r="T14" s="46" t="str">
        <x:f>IFERROR(IF(AND($J14&gt;0,$P14&gt;0,$K14=$R14),$J14/$P14,""),"")</x:f>
      </x:c>
      <x:c r="U14" s="41" t="str">
        <x:v>Bonds</x:v>
      </x:c>
      <x:c r="V14" s="41" t="str">
        <x:v>Not disclosed</x:v>
      </x:c>
      <x:c r="W14" s="41" t="n">
        <x:v>7</x:v>
      </x:c>
      <x:c r="X14" s="41" t="str">
        <x:v>confirmed</x:v>
      </x:c>
      <x:c r="Y14" s="41" t="str"/>
      <x:c r="Z14" s="41" t="str">
        <x:v>MOEX disclosure</x:v>
      </x:c>
      <x:c r="AA14" s="41" t="str">
        <x:v>https://www.moex.com/n101450</x:v>
      </x:c>
      <x:c r="AB14" s="41" t="str">
        <x:v>Дополнительные условия проведения торгов по выкупу облигаций серии 003Р-02 ООО "Концерн "РОССИУМ" 26 июня 2026 года</x:v>
      </x:c>
      <x:c r="AC14" s="41" t="str">
        <x:v>Screening record; verify against primary transaction documents.</x:v>
      </x:c>
    </x:row>
    <x:row r="15">
      <x:c r="A15" s="41" t="str">
        <x:v>DL-bec65812ff9fcfae</x:v>
      </x:c>
      <x:c r="B15" s="43" t="n">
        <x:v>46197</x:v>
      </x:c>
      <x:c r="C15" s="41" t="str">
        <x:v>DCM</x:v>
      </x:c>
      <x:c r="D15" s="41" t="str">
        <x:v>Announced</x:v>
      </x:c>
      <x:c r="E15" s="41" t="str">
        <x:v>Selectel</x:v>
      </x:c>
      <x:c r="F15" s="41" t="str">
        <x:v>Not applicable</x:v>
      </x:c>
      <x:c r="G15" s="41" t="str">
        <x:v>Not classified</x:v>
      </x:c>
      <x:c r="H15" s="41" t="str">
        <x:v>Russia</x:v>
      </x:c>
      <x:c r="I15" s="44" t="n">
        <x:v>5000000000</x:v>
      </x:c>
      <x:c r="J15" s="44"/>
      <x:c r="K15" s="41" t="str">
        <x:v>RUB</x:v>
      </x:c>
      <x:c r="L15" s="45"/>
      <x:c r="M15" s="41"/>
      <x:c r="N15" s="41"/>
      <x:c r="O15" s="44"/>
      <x:c r="P15" s="44"/>
      <x:c r="Q15" s="41"/>
      <x:c r="R15" s="41"/>
      <x:c r="S15" s="46" t="str">
        <x:f>IFERROR(IF(AND($J15&gt;0,$O15&gt;0,$K15=$R15),$J15/$O15,""),"")</x:f>
      </x:c>
      <x:c r="T15" s="46" t="str">
        <x:f>IFERROR(IF(AND($J15&gt;0,$P15&gt;0,$K15=$R15),$J15/$P15,""),"")</x:f>
      </x:c>
      <x:c r="U15" s="41" t="str">
        <x:v>Bonds</x:v>
      </x:c>
      <x:c r="V15" s="41" t="str">
        <x:v>рефинансирования и инвестиций</x:v>
      </x:c>
      <x:c r="W15" s="41" t="n">
        <x:v>4</x:v>
      </x:c>
      <x:c r="X15" s="41" t="str">
        <x:v>unverified</x:v>
      </x:c>
      <x:c r="Y15" s="41" t="str"/>
      <x:c r="Z15" s="41" t="str">
        <x:v>ComNews.ru</x:v>
      </x:c>
      <x:c r="AA15" s="41" t="str">
        <x:v>https://www.comnews.ru/content/246003/2026-06-25/2026-w26/1008/selectel-razmestit-obligacii-5-mlrd-rub-dlya-refinansirovaniya-i-investiciy</x:v>
      </x:c>
      <x:c r="AB15" s="41" t="str">
        <x:v>Selectel разместит облигации на 5 млрд руб. для рефинансирования и инвестиций - ComNews.ru</x:v>
      </x:c>
      <x:c r="AC15" s="41" t="str">
        <x:v>Screening record; verify against primary transaction documents.</x:v>
      </x:c>
    </x:row>
    <x:row r="16">
      <x:c r="A16" s="41" t="str">
        <x:v>DL-7a721642a53e0f1d</x:v>
      </x:c>
      <x:c r="B16" s="43" t="n">
        <x:v>46192</x:v>
      </x:c>
      <x:c r="C16" s="41" t="str">
        <x:v>DCM</x:v>
      </x:c>
      <x:c r="D16" s="41" t="str">
        <x:v>Issued</x:v>
      </x:c>
      <x:c r="E16" s="41" t="str">
        <x:v>Yandex</x:v>
      </x:c>
      <x:c r="F16" s="41" t="str">
        <x:v>Not applicable</x:v>
      </x:c>
      <x:c r="G16" s="41" t="str">
        <x:v>Technology</x:v>
      </x:c>
      <x:c r="H16" s="41" t="str">
        <x:v>Russia</x:v>
      </x:c>
      <x:c r="I16" s="44" t="n">
        <x:v>60000000000</x:v>
      </x:c>
      <x:c r="J16" s="44"/>
      <x:c r="K16" s="41" t="str">
        <x:v>RUB</x:v>
      </x:c>
      <x:c r="L16" s="45"/>
      <x:c r="M16" s="41" t="str">
        <x:v>Not applicable</x:v>
      </x:c>
      <x:c r="N16" s="41" t="str">
        <x:v>Not disclosed</x:v>
      </x:c>
      <x:c r="O16" s="44"/>
      <x:c r="P16" s="44"/>
      <x:c r="Q16" s="41" t="str">
        <x:v>Not disclosed</x:v>
      </x:c>
      <x:c r="R16" s="41" t="str">
        <x:v>Not disclosed</x:v>
      </x:c>
      <x:c r="S16" s="46" t="str">
        <x:f>IFERROR(IF(AND($J16&gt;0,$O16&gt;0,$K16=$R16),$J16/$O16,""),"")</x:f>
      </x:c>
      <x:c r="T16" s="46" t="str">
        <x:f>IFERROR(IF(AND($J16&gt;0,$P16&gt;0,$K16=$R16),$J16/$P16,""),"")</x:f>
      </x:c>
      <x:c r="U16" s="41" t="str">
        <x:v>Bonds</x:v>
      </x:c>
      <x:c r="V16" s="41" t="str">
        <x:v>частных инвесторов Яндекса содержит информацию про бизнесы и технологии компании, а также географию присутствия, финансовые результаты, важные новости и многое другое о компании и её рынках</x:v>
      </x:c>
      <x:c r="W16" s="41" t="n">
        <x:v>7</x:v>
      </x:c>
      <x:c r="X16" s="41" t="str">
        <x:v>confirmed</x:v>
      </x:c>
      <x:c r="Y16" s="41" t="str">
        <x:v>YDEX</x:v>
      </x:c>
      <x:c r="Z16" s="41" t="str">
        <x:v>Yandex Investor Relations</x:v>
      </x:c>
      <x:c r="AA16" s="41" t="str">
        <x:v>https://ir.yandex.ru/press-releases?year=2026&amp;id=19-06-2026-03</x:v>
      </x:c>
      <x:c r="AB16" s="41" t="str">
        <x:v>Яндекс разместил два выпуска биржевых облигаций на общую сумму 60 млрд рублей</x:v>
      </x:c>
      <x:c r="AC16" s="41" t="str">
        <x:v>Screening record; verify against primary transaction documents.</x:v>
      </x:c>
    </x:row>
    <x:row r="17">
      <x:c r="A17" s="41" t="str">
        <x:v>DL-9092ffd6a36a0a81</x:v>
      </x:c>
      <x:c r="B17" s="43" t="n">
        <x:v>46183</x:v>
      </x:c>
      <x:c r="C17" s="41" t="str">
        <x:v>DCM</x:v>
      </x:c>
      <x:c r="D17" s="41" t="str">
        <x:v>Reported</x:v>
      </x:c>
      <x:c r="E17" s="41" t="str">
        <x:v>Норникель</x:v>
      </x:c>
      <x:c r="F17" s="41" t="str">
        <x:v>Not applicable</x:v>
      </x:c>
      <x:c r="G17" s="41" t="str">
        <x:v>Not classified</x:v>
      </x:c>
      <x:c r="H17" s="41" t="str">
        <x:v>Not disclosed</x:v>
      </x:c>
      <x:c r="I17" s="44" t="n">
        <x:v>3000000000</x:v>
      </x:c>
      <x:c r="J17" s="44"/>
      <x:c r="K17" s="41" t="str">
        <x:v>RUB</x:v>
      </x:c>
      <x:c r="L17" s="45"/>
      <x:c r="M17" s="41" t="str">
        <x:v>Not applicable</x:v>
      </x:c>
      <x:c r="N17" s="41" t="str">
        <x:v>Not disclosed</x:v>
      </x:c>
      <x:c r="O17" s="44"/>
      <x:c r="P17" s="44"/>
      <x:c r="Q17" s="41" t="str">
        <x:v>Not disclosed</x:v>
      </x:c>
      <x:c r="R17" s="41" t="str">
        <x:v>Not disclosed</x:v>
      </x:c>
      <x:c r="S17" s="46" t="str">
        <x:f>IFERROR(IF(AND($J17&gt;0,$O17&gt;0,$K17=$R17),$J17/$O17,""),"")</x:f>
      </x:c>
      <x:c r="T17" s="46" t="str">
        <x:f>IFERROR(IF(AND($J17&gt;0,$P17&gt;0,$K17=$R17),$J17/$P17,""),"")</x:f>
      </x:c>
      <x:c r="U17" s="41" t="str">
        <x:v>Bonds</x:v>
      </x:c>
      <x:c r="V17" s="41" t="str">
        <x:v>Not disclosed</x:v>
      </x:c>
      <x:c r="W17" s="41" t="n">
        <x:v>3</x:v>
      </x:c>
      <x:c r="X17" s="41" t="str">
        <x:v>unverified</x:v>
      </x:c>
      <x:c r="Y17" s="41" t="str"/>
      <x:c r="Z17" s="41" t="str">
        <x:v>Интерфакс</x:v>
      </x:c>
      <x:c r="AA17" s="41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AB17" s="41" t="str">
        <x:v>"Норникель" зафиксировал объем размещения облигаций на уровне 3 млрд юаней - Интерфакс</x:v>
      </x:c>
      <x:c r="AC17" s="41" t="str">
        <x:v>Screening record; verify against primary transaction documents.</x:v>
      </x:c>
    </x:row>
    <x:row r="18">
      <x:c r="A18" s="41" t="str">
        <x:v>DL-f71ff729dc9f5af4</x:v>
      </x:c>
      <x:c r="B18" s="43" t="n">
        <x:v>46181</x:v>
      </x:c>
      <x:c r="C18" s="41" t="str">
        <x:v>DCM</x:v>
      </x:c>
      <x:c r="D18" s="41" t="str">
        <x:v>Reported</x:v>
      </x:c>
      <x:c r="E18" s="41" t="str">
        <x:v>Yandex</x:v>
      </x:c>
      <x:c r="F18" s="41" t="str">
        <x:v>Not applicable</x:v>
      </x:c>
      <x:c r="G18" s="41" t="str">
        <x:v>Not classified</x:v>
      </x:c>
      <x:c r="H18" s="41" t="str">
        <x:v>Not disclosed</x:v>
      </x:c>
      <x:c r="I18" s="44"/>
      <x:c r="J18" s="44"/>
      <x:c r="K18" s="41" t="str">
        <x:v>NOT DISCLOSED</x:v>
      </x:c>
      <x:c r="L18" s="45"/>
      <x:c r="M18" s="41" t="str">
        <x:v>Not applicable</x:v>
      </x:c>
      <x:c r="N18" s="41" t="str">
        <x:v>Not disclosed</x:v>
      </x:c>
      <x:c r="O18" s="44"/>
      <x:c r="P18" s="44"/>
      <x:c r="Q18" s="41" t="str">
        <x:v>Not disclosed</x:v>
      </x:c>
      <x:c r="R18" s="41" t="str">
        <x:v>Not disclosed</x:v>
      </x:c>
      <x:c r="S18" s="46" t="str">
        <x:f>IFERROR(IF(AND($J18&gt;0,$O18&gt;0,$K18=$R18),$J18/$O18,""),"")</x:f>
      </x:c>
      <x:c r="T18" s="46" t="str">
        <x:f>IFERROR(IF(AND($J18&gt;0,$P18&gt;0,$K18=$R18),$J18/$P18,""),"")</x:f>
      </x:c>
      <x:c r="U18" s="41" t="str">
        <x:v>Bonds</x:v>
      </x:c>
      <x:c r="V18" s="41" t="str">
        <x:v>Not disclosed</x:v>
      </x:c>
      <x:c r="W18" s="41" t="n">
        <x:v>4</x:v>
      </x:c>
      <x:c r="X18" s="41" t="str">
        <x:v>unverified</x:v>
      </x:c>
      <x:c r="Y18" s="41" t="str">
        <x:v>YDEX</x:v>
      </x:c>
      <x:c r="Z18" s="41" t="str">
        <x:v>Финам</x:v>
      </x:c>
      <x:c r="AA18" s="41" t="str">
        <x:v>https://www.finam.ru/publications/item/yandeks-vnov-vykhodit-na-dolgovoy-rynok-razbor-dvoynogo-razmeshcheniya-obligatsiy-20260608-1729/</x:v>
      </x:c>
      <x:c r="AB18" s="41" t="str">
        <x:v>«Яндекс» вновь выходит на долговой рынок: разбор двойного размещения облигаций - Финам</x:v>
      </x:c>
      <x:c r="AC18" s="41" t="str">
        <x:v>Screening record; verify against primary transaction documents.</x:v>
      </x:c>
    </x:row>
    <x:row r="19">
      <x:c r="A19" s="41" t="str">
        <x:v>DL-c0e4b0469b5eb473</x:v>
      </x:c>
      <x:c r="B19" s="43" t="n">
        <x:v>46177</x:v>
      </x:c>
      <x:c r="C19" s="41" t="str">
        <x:v>M&amp;A</x:v>
      </x:c>
      <x:c r="D19" s="41" t="str">
        <x:v>Reported</x:v>
      </x:c>
      <x:c r="E19" s="41" t="str">
        <x:v>Not disclosed</x:v>
      </x:c>
      <x:c r="F19" s="41" t="str">
        <x:v>Ozon</x:v>
      </x:c>
      <x:c r="G19" s="41" t="str">
        <x:v>Not classified</x:v>
      </x:c>
      <x:c r="H19" s="41" t="str">
        <x:v>Not disclosed</x:v>
      </x:c>
      <x:c r="I19" s="44"/>
      <x:c r="J19" s="44"/>
      <x:c r="K19" s="41" t="str">
        <x:v>NOT DISCLOSED</x:v>
      </x:c>
      <x:c r="L19" s="45"/>
      <x:c r="M19" s="41" t="str">
        <x:v>Not disclosed</x:v>
      </x:c>
      <x:c r="N19" s="41" t="str">
        <x:v>Not disclosed</x:v>
      </x:c>
      <x:c r="O19" s="44"/>
      <x:c r="P19" s="44"/>
      <x:c r="Q19" s="41" t="str">
        <x:v>Not disclosed</x:v>
      </x:c>
      <x:c r="R19" s="41" t="str">
        <x:v>Not disclosed</x:v>
      </x:c>
      <x:c r="S19" s="46" t="str">
        <x:f>IFERROR(IF(AND($J19&gt;0,$O19&gt;0,$K19=$R19),$J19/$O19,""),"")</x:f>
      </x:c>
      <x:c r="T19" s="46" t="str">
        <x:f>IFERROR(IF(AND($J19&gt;0,$P19&gt;0,$K19=$R19),$J19/$P19,""),"")</x:f>
      </x:c>
      <x:c r="U19" s="41" t="str">
        <x:v>Acquisition / disposal</x:v>
      </x:c>
      <x:c r="V19" s="41" t="str">
        <x:v>Not disclosed</x:v>
      </x:c>
      <x:c r="W19" s="41" t="n">
        <x:v>4</x:v>
      </x:c>
      <x:c r="X19" s="41" t="str">
        <x:v>unverified</x:v>
      </x:c>
      <x:c r="Y19" s="41" t="str">
        <x:v>OZON</x:v>
      </x:c>
      <x:c r="Z19" s="41" t="str">
        <x:v>БКС Экспресс</x:v>
      </x:c>
      <x:c r="AA19" s="41" t="str">
        <x:v>https://bcs-express.ru/novosti-i-analitika/gref-oproverg-dogovorennost-sbera-o-pokupke-doli-v-ozone</x:v>
      </x:c>
      <x:c r="AB19" s="41" t="str">
        <x:v>Греф опроверг договоренность Сбера о покупке доли в Озоне - БКС Экспресс</x:v>
      </x:c>
      <x:c r="AC19" s="41" t="str">
        <x:v>Screening record; verify against primary transaction documents.</x:v>
      </x:c>
    </x:row>
    <x:row r="20">
      <x:c r="A20" s="41" t="str">
        <x:v>DL-2e27ebc506e38656</x:v>
      </x:c>
      <x:c r="B20" s="43" t="n">
        <x:v>46176</x:v>
      </x:c>
      <x:c r="C20" s="41" t="str">
        <x:v>M&amp;A</x:v>
      </x:c>
      <x:c r="D20" s="41" t="str">
        <x:v>Completed</x:v>
      </x:c>
      <x:c r="E20" s="41" t="str">
        <x:v>Авто.ру</x:v>
      </x:c>
      <x:c r="F20" s="41" t="str">
        <x:v>Т-Технологии</x:v>
      </x:c>
      <x:c r="G20" s="41" t="str">
        <x:v>Technology</x:v>
      </x:c>
      <x:c r="H20" s="41" t="str">
        <x:v>Not disclosed</x:v>
      </x:c>
      <x:c r="I20" s="44"/>
      <x:c r="J20" s="44"/>
      <x:c r="K20" s="41" t="str">
        <x:v>NOT DISCLOSED</x:v>
      </x:c>
      <x:c r="L20" s="45"/>
      <x:c r="M20" s="41" t="str">
        <x:v>Not disclosed</x:v>
      </x:c>
      <x:c r="N20" s="41" t="str">
        <x:v>Not disclosed</x:v>
      </x:c>
      <x:c r="O20" s="44"/>
      <x:c r="P20" s="44"/>
      <x:c r="Q20" s="41" t="str">
        <x:v>Not disclosed</x:v>
      </x:c>
      <x:c r="R20" s="41" t="str">
        <x:v>Not disclosed</x:v>
      </x:c>
      <x:c r="S20" s="46" t="str">
        <x:f>IFERROR(IF(AND($J20&gt;0,$O20&gt;0,$K20=$R20),$J20/$O20,""),"")</x:f>
      </x:c>
      <x:c r="T20" s="46" t="str">
        <x:f>IFERROR(IF(AND($J20&gt;0,$P20&gt;0,$K20=$R20),$J20/$P20,""),"")</x:f>
      </x:c>
      <x:c r="U20" s="41" t="str">
        <x:v>Acquisition / disposal</x:v>
      </x:c>
      <x:c r="V20" s="41" t="str">
        <x:v>Not disclosed</x:v>
      </x:c>
      <x:c r="W20" s="41" t="n">
        <x:v>6</x:v>
      </x:c>
      <x:c r="X20" s="41" t="str">
        <x:v>unverified</x:v>
      </x:c>
      <x:c r="Y20" s="41" t="str">
        <x:v>YDEX</x:v>
      </x:c>
      <x:c r="Z20" s="41" t="str">
        <x:v>БКС Экспресс</x:v>
      </x:c>
      <x:c r="AA20" s="41" t="str">
        <x:v>https://bcs-express.ru/novosti-i-analitika/t-tekhnologii-zakryli-sdelku-po-pokupke-avto-ru-u-iandeksa</x:v>
      </x:c>
      <x:c r="AB20" s="41" t="str">
        <x:v>Т-Технологии закрыли сделку по покупке Авто.ру у Яндекса - БКС Экспресс</x:v>
      </x:c>
      <x:c r="AC20" s="41" t="str">
        <x:v>Screening record; verify against primary transaction documents.</x:v>
      </x:c>
    </x:row>
    <x:row r="21">
      <x:c r="A21" s="41" t="str">
        <x:v>DL-5eba3b27a4e84dd3</x:v>
      </x:c>
      <x:c r="B21" s="43" t="n">
        <x:v>46175</x:v>
      </x:c>
      <x:c r="C21" s="41" t="str">
        <x:v>M&amp;A</x:v>
      </x:c>
      <x:c r="D21" s="41" t="str">
        <x:v>Completed</x:v>
      </x:c>
      <x:c r="E21" s="41" t="str">
        <x:v>Not disclosed</x:v>
      </x:c>
      <x:c r="F21" s="41" t="str">
        <x:v>Yandex</x:v>
      </x:c>
      <x:c r="G21" s="41" t="str">
        <x:v>Technology</x:v>
      </x:c>
      <x:c r="H21" s="41" t="str">
        <x:v>Not disclosed</x:v>
      </x:c>
      <x:c r="I21" s="44"/>
      <x:c r="J21" s="44"/>
      <x:c r="K21" s="41" t="str">
        <x:v>NOT DISCLOSED</x:v>
      </x:c>
      <x:c r="L21" s="45"/>
      <x:c r="M21" s="41" t="str">
        <x:v>Not disclosed</x:v>
      </x:c>
      <x:c r="N21" s="41" t="str">
        <x:v>Not disclosed</x:v>
      </x:c>
      <x:c r="O21" s="44"/>
      <x:c r="P21" s="44"/>
      <x:c r="Q21" s="41" t="str">
        <x:v>Not disclosed</x:v>
      </x:c>
      <x:c r="R21" s="41" t="str">
        <x:v>Not disclosed</x:v>
      </x:c>
      <x:c r="S21" s="46" t="str">
        <x:f>IFERROR(IF(AND($J21&gt;0,$O21&gt;0,$K21=$R21),$J21/$O21,""),"")</x:f>
      </x:c>
      <x:c r="T21" s="46" t="str">
        <x:f>IFERROR(IF(AND($J21&gt;0,$P21&gt;0,$K21=$R21),$J21/$P21,""),"")</x:f>
      </x:c>
      <x:c r="U21" s="41" t="str">
        <x:v>Acquisition / disposal</x:v>
      </x:c>
      <x:c r="V21" s="41" t="str">
        <x:v>частных инвесторов Яндекса содержит информацию про бизнесы и технологии компании, а также географию присутствия, финансовые результаты, важные новости и многое другое о компании и её рынках</x:v>
      </x:c>
      <x:c r="W21" s="41" t="n">
        <x:v>9</x:v>
      </x:c>
      <x:c r="X21" s="41" t="str">
        <x:v>confirmed</x:v>
      </x:c>
      <x:c r="Y21" s="41" t="str">
        <x:v>YDEX</x:v>
      </x:c>
      <x:c r="Z21" s="41" t="str">
        <x:v>Yandex Investor Relations</x:v>
      </x:c>
      <x:c r="AA21" s="41" t="str">
        <x:v>https://ir.yandex.ru/press-releases?year=2026&amp;id=02-06-2026-04</x:v>
      </x:c>
      <x:c r="AB21" s="41" t="str">
        <x:v>Яндекс закрыл сделку по продаже Авто.ру</x:v>
      </x:c>
      <x:c r="AC21" s="41" t="str">
        <x:v>Screening record; verify against primary transaction documents.</x:v>
      </x:c>
    </x:row>
    <x:row r="22">
      <x:c r="A22" s="41" t="str">
        <x:v>DL-a78cf0af94927306</x:v>
      </x:c>
      <x:c r="B22" s="43" t="n">
        <x:v>46175</x:v>
      </x:c>
      <x:c r="C22" s="41" t="str">
        <x:v>M&amp;A</x:v>
      </x:c>
      <x:c r="D22" s="41" t="str">
        <x:v>Reported</x:v>
      </x:c>
      <x:c r="E22" s="41" t="str">
        <x:v>Not disclosed</x:v>
      </x:c>
      <x:c r="F22" s="41" t="str">
        <x:v>Yandex</x:v>
      </x:c>
      <x:c r="G22" s="41" t="str">
        <x:v>Technology</x:v>
      </x:c>
      <x:c r="H22" s="41" t="str">
        <x:v>Russia</x:v>
      </x:c>
      <x:c r="I22" s="44" t="n">
        <x:v>35000000000</x:v>
      </x:c>
      <x:c r="J22" s="44"/>
      <x:c r="K22" s="41" t="str">
        <x:v>RUB</x:v>
      </x:c>
      <x:c r="L22" s="45"/>
      <x:c r="M22" s="41" t="str">
        <x:v>Not disclosed</x:v>
      </x:c>
      <x:c r="N22" s="41" t="str">
        <x:v>Not disclosed</x:v>
      </x:c>
      <x:c r="O22" s="44"/>
      <x:c r="P22" s="44"/>
      <x:c r="Q22" s="41" t="str">
        <x:v>Not disclosed</x:v>
      </x:c>
      <x:c r="R22" s="41" t="str">
        <x:v>Not disclosed</x:v>
      </x:c>
      <x:c r="S22" s="46" t="str">
        <x:f>IFERROR(IF(AND($J22&gt;0,$O22&gt;0,$K22=$R22),$J22/$O22,""),"")</x:f>
      </x:c>
      <x:c r="T22" s="46" t="str">
        <x:f>IFERROR(IF(AND($J22&gt;0,$P22&gt;0,$K22=$R22),$J22/$P22,""),"")</x:f>
      </x:c>
      <x:c r="U22" s="41" t="str">
        <x:v>Acquisition / disposal</x:v>
      </x:c>
      <x:c r="V22" s="41" t="str">
        <x:v>Not disclosed</x:v>
      </x:c>
      <x:c r="W22" s="41" t="n">
        <x:v>4</x:v>
      </x:c>
      <x:c r="X22" s="41" t="str">
        <x:v>unverified</x:v>
      </x:c>
      <x:c r="Y22" s="41" t="str">
        <x:v>YDEX</x:v>
      </x:c>
      <x:c r="Z22" s="41" t="str">
        <x:v>Финам</x:v>
      </x:c>
      <x:c r="AA22" s="41" t="str">
        <x:v>https://www.finam.ru/publications/item/yandeks-prodal-avtoru-t-tekhnologiyam-20260602-1802/</x:v>
      </x:c>
      <x:c r="AB22" s="41" t="str">
        <x:v>"Яндекс" продал "Авто.ру" "Т-Технологиям" за 35 млрд рублей - Финам</x:v>
      </x:c>
      <x:c r="AC22" s="41" t="str">
        <x:v>Screening record; verify against primary transaction documents.</x:v>
      </x:c>
    </x:row>
    <x:row r="23">
      <x:c r="A23" s="41" t="str">
        <x:v>DL-1f4ea43fab1ad3e7</x:v>
      </x:c>
      <x:c r="B23" s="43" t="n">
        <x:v>46171</x:v>
      </x:c>
      <x:c r="C23" s="41" t="str">
        <x:v>M&amp;A</x:v>
      </x:c>
      <x:c r="D23" s="41" t="str">
        <x:v>Potential</x:v>
      </x:c>
      <x:c r="E23" s="41" t="str">
        <x:v>Not disclosed</x:v>
      </x:c>
      <x:c r="F23" s="41" t="str">
        <x:v>Ozon</x:v>
      </x:c>
      <x:c r="G23" s="41" t="str">
        <x:v>Not classified</x:v>
      </x:c>
      <x:c r="H23" s="41" t="str">
        <x:v>Russia</x:v>
      </x:c>
      <x:c r="I23" s="44" t="n">
        <x:v>300000000000</x:v>
      </x:c>
      <x:c r="J23" s="44"/>
      <x:c r="K23" s="41" t="str">
        <x:v>RUB</x:v>
      </x:c>
      <x:c r="L23" s="45"/>
      <x:c r="M23" s="41" t="str">
        <x:v>Not disclosed</x:v>
      </x:c>
      <x:c r="N23" s="41" t="str">
        <x:v>Not disclosed</x:v>
      </x:c>
      <x:c r="O23" s="44"/>
      <x:c r="P23" s="44"/>
      <x:c r="Q23" s="41" t="str">
        <x:v>Not disclosed</x:v>
      </x:c>
      <x:c r="R23" s="41" t="str">
        <x:v>Not disclosed</x:v>
      </x:c>
      <x:c r="S23" s="46" t="str">
        <x:f>IFERROR(IF(AND($J23&gt;0,$O23&gt;0,$K23=$R23),$J23/$O23,""),"")</x:f>
      </x:c>
      <x:c r="T23" s="46" t="str">
        <x:f>IFERROR(IF(AND($J23&gt;0,$P23&gt;0,$K23=$R23),$J23/$P23,""),"")</x:f>
      </x:c>
      <x:c r="U23" s="41" t="str">
        <x:v>Acquisition / disposal</x:v>
      </x:c>
      <x:c r="V23" s="41" t="str">
        <x:v>Not disclosed</x:v>
      </x:c>
      <x:c r="W23" s="41" t="n">
        <x:v>4</x:v>
      </x:c>
      <x:c r="X23" s="41" t="str">
        <x:v>unverified</x:v>
      </x:c>
      <x:c r="Y23" s="41" t="str">
        <x:v>OZON</x:v>
      </x:c>
      <x:c r="Z23" s="41" t="str">
        <x:v>Сибирское информационное агентство</x:v>
      </x:c>
      <x:c r="AA23" s="41" t="str">
        <x:v>https://sia.ru/?section\=484\&amp;action\=show_news\&amp;id\=16828609</x:v>
      </x:c>
      <x:c r="AB23" s="41" t="str">
        <x:v>«Сбер» может стать совладельцем Ozon в сделке на 300 млрд рублей? - Сибирское информационное агентство</x:v>
      </x:c>
      <x:c r="AC23" s="41" t="str">
        <x:v>Screening record; verify against primary transaction documents.</x:v>
      </x:c>
    </x:row>
    <x:row r="24">
      <x:c r="A24" s="41" t="str">
        <x:v>DL-a4f6a4524ddca358</x:v>
      </x:c>
      <x:c r="B24" s="43" t="n">
        <x:v>46170</x:v>
      </x:c>
      <x:c r="C24" s="41" t="str">
        <x:v>M&amp;A</x:v>
      </x:c>
      <x:c r="D24" s="41" t="str">
        <x:v>Reported</x:v>
      </x:c>
      <x:c r="E24" s="41" t="str">
        <x:v>Not disclosed</x:v>
      </x:c>
      <x:c r="F24" s="41" t="str">
        <x:v>Ozon</x:v>
      </x:c>
      <x:c r="G24" s="41" t="str">
        <x:v>Not classified</x:v>
      </x:c>
      <x:c r="H24" s="41" t="str">
        <x:v>Not disclosed</x:v>
      </x:c>
      <x:c r="I24" s="44"/>
      <x:c r="J24" s="44"/>
      <x:c r="K24" s="41" t="str">
        <x:v>NOT DISCLOSED</x:v>
      </x:c>
      <x:c r="L24" s="45"/>
      <x:c r="M24" s="41" t="str">
        <x:v>Not disclosed</x:v>
      </x:c>
      <x:c r="N24" s="41" t="str">
        <x:v>Not disclosed</x:v>
      </x:c>
      <x:c r="O24" s="44"/>
      <x:c r="P24" s="44"/>
      <x:c r="Q24" s="41" t="str">
        <x:v>Not disclosed</x:v>
      </x:c>
      <x:c r="R24" s="41" t="str">
        <x:v>Not disclosed</x:v>
      </x:c>
      <x:c r="S24" s="46" t="str">
        <x:f>IFERROR(IF(AND($J24&gt;0,$O24&gt;0,$K24=$R24),$J24/$O24,""),"")</x:f>
      </x:c>
      <x:c r="T24" s="46" t="str">
        <x:f>IFERROR(IF(AND($J24&gt;0,$P24&gt;0,$K24=$R24),$J24/$P24,""),"")</x:f>
      </x:c>
      <x:c r="U24" s="41" t="str">
        <x:v>Acquisition / disposal</x:v>
      </x:c>
      <x:c r="V24" s="41" t="str">
        <x:v>Not disclosed</x:v>
      </x:c>
      <x:c r="W24" s="41" t="n">
        <x:v>5</x:v>
      </x:c>
      <x:c r="X24" s="41" t="str">
        <x:v>unverified</x:v>
      </x:c>
      <x:c r="Y24" s="41" t="str">
        <x:v>OZON</x:v>
      </x:c>
      <x:c r="Z24" s="41" t="str">
        <x:v>Интерфакс</x:v>
      </x:c>
      <x:c r="AA24" s="41" t="str">
        <x:v>https://news.google.com/rss/articles/CBMiUkFVX3lxTE9GMUxsS2ZKR2JaU2ZhY1hRSmoteVVNM1V6U2pJQnFGblRETXk1b0pLLXl3VXNvREgwdVg4dmNyc3VBVWxFZ1ZjUmxILXlrWU80VVHSAUtBVV95cUxPM21YSmF3aGRJQThYblp1MEEyNGNLSnR0SzlnTG1ITWtJWXY5bU1Jdm9kWU5nRjRYOUoxRlFscTB5X2NHVUlWYmtDX0k?oc=5</x:v>
      </x:c>
      <x:c r="AB24" s="41" t="str">
        <x:v>"Ъ" сообщил о переговорах структур Сбера с АФК "Система" о покупке доли в Ozon - Интерфакс</x:v>
      </x:c>
      <x:c r="AC24" s="41" t="str">
        <x:v>Screening record; verify against primary transaction documents.</x:v>
      </x:c>
    </x:row>
    <x:row r="25">
      <x:c r="A25" s="41" t="str">
        <x:v>DL-e08040bba3b952c1</x:v>
      </x:c>
      <x:c r="B25" s="43" t="n">
        <x:v>46170</x:v>
      </x:c>
      <x:c r="C25" s="41" t="str">
        <x:v>M&amp;A</x:v>
      </x:c>
      <x:c r="D25" s="41" t="str">
        <x:v>Reported</x:v>
      </x:c>
      <x:c r="E25" s="41" t="str">
        <x:v>Not disclosed</x:v>
      </x:c>
      <x:c r="F25" s="41" t="str">
        <x:v>Yandex</x:v>
      </x:c>
      <x:c r="G25" s="41" t="str">
        <x:v>Not classified</x:v>
      </x:c>
      <x:c r="H25" s="41" t="str">
        <x:v>Not disclosed</x:v>
      </x:c>
      <x:c r="I25" s="44"/>
      <x:c r="J25" s="44"/>
      <x:c r="K25" s="41" t="str">
        <x:v>NOT DISCLOSED</x:v>
      </x:c>
      <x:c r="L25" s="45"/>
      <x:c r="M25" s="41" t="str">
        <x:v>Not disclosed</x:v>
      </x:c>
      <x:c r="N25" s="41" t="str">
        <x:v>Not disclosed</x:v>
      </x:c>
      <x:c r="O25" s="44"/>
      <x:c r="P25" s="44"/>
      <x:c r="Q25" s="41" t="str">
        <x:v>Not disclosed</x:v>
      </x:c>
      <x:c r="R25" s="41" t="str">
        <x:v>Not disclosed</x:v>
      </x:c>
      <x:c r="S25" s="46" t="str">
        <x:f>IFERROR(IF(AND($J25&gt;0,$O25&gt;0,$K25=$R25),$J25/$O25,""),"")</x:f>
      </x:c>
      <x:c r="T25" s="46" t="str">
        <x:f>IFERROR(IF(AND($J25&gt;0,$P25&gt;0,$K25=$R25),$J25/$P25,""),"")</x:f>
      </x:c>
      <x:c r="U25" s="41" t="str">
        <x:v>Acquisition / disposal</x:v>
      </x:c>
      <x:c r="V25" s="41" t="str">
        <x:v>Not disclosed</x:v>
      </x:c>
      <x:c r="W25" s="41" t="n">
        <x:v>4</x:v>
      </x:c>
      <x:c r="X25" s="41" t="str">
        <x:v>unverified</x:v>
      </x:c>
      <x:c r="Y25" s="41" t="str">
        <x:v>YDEX</x:v>
      </x:c>
      <x:c r="Z25" s="41" t="str">
        <x:v>Финам</x:v>
      </x:c>
      <x:c r="AA25" s="41" t="str">
        <x:v>https://www.finam.ru/publications/item/yandeks-stal-osnovnym-pretendentom-na-pokupku-ostrovka-20260528-0928/</x:v>
      </x:c>
      <x:c r="AB25" s="41" t="str">
        <x:v>"Яндекс" стал основным претендентом на покупку "Островка" - Финам</x:v>
      </x:c>
      <x:c r="AC25" s="41" t="str">
        <x:v>Screening record; verify against primary transaction documents.</x:v>
      </x:c>
    </x:row>
    <x:row r="26">
      <x:c r="A26" s="41" t="str">
        <x:v>DL-4ffd21b67b0042b7</x:v>
      </x:c>
      <x:c r="B26" s="43" t="n">
        <x:v>46170</x:v>
      </x:c>
      <x:c r="C26" s="41" t="str">
        <x:v>M&amp;A</x:v>
      </x:c>
      <x:c r="D26" s="41" t="str">
        <x:v>Potential</x:v>
      </x:c>
      <x:c r="E26" s="41" t="str">
        <x:v>Not disclosed</x:v>
      </x:c>
      <x:c r="F26" s="41" t="str">
        <x:v>Ozon</x:v>
      </x:c>
      <x:c r="G26" s="41" t="str">
        <x:v>Not classified</x:v>
      </x:c>
      <x:c r="H26" s="41" t="str">
        <x:v>Russia</x:v>
      </x:c>
      <x:c r="I26" s="44" t="n">
        <x:v>30000000000</x:v>
      </x:c>
      <x:c r="J26" s="44"/>
      <x:c r="K26" s="41" t="str">
        <x:v>RUB</x:v>
      </x:c>
      <x:c r="L26" s="45"/>
      <x:c r="M26" s="41" t="str">
        <x:v>Not disclosed</x:v>
      </x:c>
      <x:c r="N26" s="41" t="str">
        <x:v>Not disclosed</x:v>
      </x:c>
      <x:c r="O26" s="44"/>
      <x:c r="P26" s="44"/>
      <x:c r="Q26" s="41" t="str">
        <x:v>Not disclosed</x:v>
      </x:c>
      <x:c r="R26" s="41" t="str">
        <x:v>Not disclosed</x:v>
      </x:c>
      <x:c r="S26" s="46" t="str">
        <x:f>IFERROR(IF(AND($J26&gt;0,$O26&gt;0,$K26=$R26),$J26/$O26,""),"")</x:f>
      </x:c>
      <x:c r="T26" s="46" t="str">
        <x:f>IFERROR(IF(AND($J26&gt;0,$P26&gt;0,$K26=$R26),$J26/$P26,""),"")</x:f>
      </x:c>
      <x:c r="U26" s="41" t="str">
        <x:v>Acquisition / disposal</x:v>
      </x:c>
      <x:c r="V26" s="41" t="str">
        <x:v>Not disclosed</x:v>
      </x:c>
      <x:c r="W26" s="41" t="n">
        <x:v>4</x:v>
      </x:c>
      <x:c r="X26" s="41" t="str">
        <x:v>unverified</x:v>
      </x:c>
      <x:c r="Y26" s="41" t="str">
        <x:v>OZON</x:v>
      </x:c>
      <x:c r="Z26" s="41" t="str">
        <x:v>RB.ru</x:v>
      </x:c>
      <x:c r="AA26" s="41" t="str">
        <x:v>https://rb.ru/news/sber-mozhet-kupit-akcii-v-ozon-na-30-mlrd-investkompaniya-afk-sistema-otricaet-informaciyu-o-prodazhe-doli/</x:v>
      </x:c>
      <x:c r="AB26" s="41" t="str">
        <x:v>Сбер может купить долю инвесткомпании АФК «Система» в Ozon за 30 млрд рублей - RB.ru</x:v>
      </x:c>
      <x:c r="AC26" s="41" t="str">
        <x:v>Screening record; verify against primary transaction documents.</x:v>
      </x:c>
    </x:row>
    <x:row r="27">
      <x:c r="A27" s="41" t="str">
        <x:v>DL-ca53a880a58471a3</x:v>
      </x:c>
      <x:c r="B27" s="43" t="n">
        <x:v>46170</x:v>
      </x:c>
      <x:c r="C27" s="41" t="str">
        <x:v>M&amp;A</x:v>
      </x:c>
      <x:c r="D27" s="41" t="str">
        <x:v>Reported</x:v>
      </x:c>
      <x:c r="E27" s="41" t="str">
        <x:v>Not disclosed</x:v>
      </x:c>
      <x:c r="F27" s="41" t="str">
        <x:v>Ozon</x:v>
      </x:c>
      <x:c r="G27" s="41" t="str">
        <x:v>Financials</x:v>
      </x:c>
      <x:c r="H27" s="41" t="str">
        <x:v>Not disclosed</x:v>
      </x:c>
      <x:c r="I27" s="44"/>
      <x:c r="J27" s="44"/>
      <x:c r="K27" s="41" t="str">
        <x:v>NOT DISCLOSED</x:v>
      </x:c>
      <x:c r="L27" s="45"/>
      <x:c r="M27" s="41" t="str">
        <x:v>Not disclosed</x:v>
      </x:c>
      <x:c r="N27" s="41" t="str">
        <x:v>Not disclosed</x:v>
      </x:c>
      <x:c r="O27" s="44"/>
      <x:c r="P27" s="44"/>
      <x:c r="Q27" s="41" t="str">
        <x:v>Not disclosed</x:v>
      </x:c>
      <x:c r="R27" s="41" t="str">
        <x:v>Not disclosed</x:v>
      </x:c>
      <x:c r="S27" s="46" t="str">
        <x:f>IFERROR(IF(AND($J27&gt;0,$O27&gt;0,$K27=$R27),$J27/$O27,""),"")</x:f>
      </x:c>
      <x:c r="T27" s="46" t="str">
        <x:f>IFERROR(IF(AND($J27&gt;0,$P27&gt;0,$K27=$R27),$J27/$P27,""),"")</x:f>
      </x:c>
      <x:c r="U27" s="41" t="str">
        <x:v>Acquisition / disposal</x:v>
      </x:c>
      <x:c r="V27" s="41" t="str">
        <x:v>Not disclosed</x:v>
      </x:c>
      <x:c r="W27" s="41" t="n">
        <x:v>4</x:v>
      </x:c>
      <x:c r="X27" s="41" t="str">
        <x:v>unverified</x:v>
      </x:c>
      <x:c r="Y27" s="41" t="str">
        <x:v>OZON</x:v>
      </x:c>
      <x:c r="Z27" s="41" t="str">
        <x:v>Альфа-Банк</x:v>
      </x:c>
      <x:c r="AA27" s="41" t="str">
        <x:v>https://alfabank.ru/alfa-investor/posts/t/2af58b47-265b-f111-91c6-0050569e1fd0/</x:v>
      </x:c>
      <x:c r="AB27" s="41" t="str">
        <x:v>Сбер забирает Ozon. Инсайд или вброс? Кто выиграет от сделки? - Альфа-Банк</x:v>
      </x:c>
      <x:c r="AC27" s="41" t="str">
        <x:v>Screening record; verify against primary transaction documents.</x:v>
      </x:c>
    </x:row>
    <x:row r="28">
      <x:c r="A28" s="41" t="str">
        <x:v>DL-eee2cc5f0b30c3ba</x:v>
      </x:c>
      <x:c r="B28" s="43" t="n">
        <x:v>46170</x:v>
      </x:c>
      <x:c r="C28" s="41" t="str">
        <x:v>M&amp;A</x:v>
      </x:c>
      <x:c r="D28" s="41" t="str">
        <x:v>Reported</x:v>
      </x:c>
      <x:c r="E28" s="41" t="str">
        <x:v>Not disclosed</x:v>
      </x:c>
      <x:c r="F28" s="41" t="str">
        <x:v>Ozon</x:v>
      </x:c>
      <x:c r="G28" s="41" t="str">
        <x:v>Financials</x:v>
      </x:c>
      <x:c r="H28" s="41" t="str">
        <x:v>Not disclosed</x:v>
      </x:c>
      <x:c r="I28" s="44"/>
      <x:c r="J28" s="44"/>
      <x:c r="K28" s="41" t="str">
        <x:v>NOT DISCLOSED</x:v>
      </x:c>
      <x:c r="L28" s="45"/>
      <x:c r="M28" s="41" t="str">
        <x:v>Not disclosed</x:v>
      </x:c>
      <x:c r="N28" s="41" t="str">
        <x:v>Not disclosed</x:v>
      </x:c>
      <x:c r="O28" s="44"/>
      <x:c r="P28" s="44"/>
      <x:c r="Q28" s="41" t="str">
        <x:v>Not disclosed</x:v>
      </x:c>
      <x:c r="R28" s="41" t="str">
        <x:v>Not disclosed</x:v>
      </x:c>
      <x:c r="S28" s="46" t="str">
        <x:f>IFERROR(IF(AND($J28&gt;0,$O28&gt;0,$K28=$R28),$J28/$O28,""),"")</x:f>
      </x:c>
      <x:c r="T28" s="46" t="str">
        <x:f>IFERROR(IF(AND($J28&gt;0,$P28&gt;0,$K28=$R28),$J28/$P28,""),"")</x:f>
      </x:c>
      <x:c r="U28" s="41" t="str">
        <x:v>Acquisition / disposal</x:v>
      </x:c>
      <x:c r="V28" s="41" t="str">
        <x:v>Not disclosed</x:v>
      </x:c>
      <x:c r="W28" s="41" t="n">
        <x:v>4</x:v>
      </x:c>
      <x:c r="X28" s="41" t="str">
        <x:v>unverified</x:v>
      </x:c>
      <x:c r="Y28" s="41" t="str">
        <x:v>OZON</x:v>
      </x:c>
      <x:c r="Z28" s="41" t="str">
        <x:v>Альфа-Банк</x:v>
      </x:c>
      <x:c r="AA28" s="41" t="str">
        <x:v>https://alfabank.ru/alfa-investor/posts/t/06d3da91-dd5a-f111-91c6-0050569e1fd0/</x:v>
      </x:c>
      <x:c r="AB28" s="41" t="str">
        <x:v>Озон и Сбер, сделки не будет? - Альфа-Банк</x:v>
      </x:c>
      <x:c r="AC28" s="41" t="str">
        <x:v>Screening record; verify against primary transaction documents.</x:v>
      </x:c>
    </x:row>
    <x:row r="29">
      <x:c r="A29" s="41" t="str">
        <x:v>DL-4d23d3c416f43c48</x:v>
      </x:c>
      <x:c r="B29" s="43" t="n">
        <x:v>46170</x:v>
      </x:c>
      <x:c r="C29" s="41" t="str">
        <x:v>M&amp;A</x:v>
      </x:c>
      <x:c r="D29" s="41" t="str">
        <x:v>Reported</x:v>
      </x:c>
      <x:c r="E29" s="41" t="str">
        <x:v>Not disclosed</x:v>
      </x:c>
      <x:c r="F29" s="41" t="str">
        <x:v>Ozon</x:v>
      </x:c>
      <x:c r="G29" s="41" t="str">
        <x:v>Not classified</x:v>
      </x:c>
      <x:c r="H29" s="41" t="str">
        <x:v>Not disclosed</x:v>
      </x:c>
      <x:c r="I29" s="44"/>
      <x:c r="J29" s="44"/>
      <x:c r="K29" s="41" t="str">
        <x:v>NOT DISCLOSED</x:v>
      </x:c>
      <x:c r="L29" s="45" t="n">
        <x:v>0.07</x:v>
      </x:c>
      <x:c r="M29" s="41" t="str">
        <x:v>Shares</x:v>
      </x:c>
      <x:c r="N29" s="41" t="str">
        <x:v>Not disclosed</x:v>
      </x:c>
      <x:c r="O29" s="44"/>
      <x:c r="P29" s="44"/>
      <x:c r="Q29" s="41" t="str">
        <x:v>Not disclosed</x:v>
      </x:c>
      <x:c r="R29" s="41" t="str">
        <x:v>Not disclosed</x:v>
      </x:c>
      <x:c r="S29" s="46" t="str">
        <x:f>IFERROR(IF(AND($J29&gt;0,$O29&gt;0,$K29=$R29),$J29/$O29,""),"")</x:f>
      </x:c>
      <x:c r="T29" s="46" t="str">
        <x:f>IFERROR(IF(AND($J29&gt;0,$P29&gt;0,$K29=$R29),$J29/$P29,""),"")</x:f>
      </x:c>
      <x:c r="U29" s="41" t="str">
        <x:v>Acquisition / disposal</x:v>
      </x:c>
      <x:c r="V29" s="41" t="str">
        <x:v>Not disclosed</x:v>
      </x:c>
      <x:c r="W29" s="41" t="n">
        <x:v>4</x:v>
      </x:c>
      <x:c r="X29" s="41" t="str">
        <x:v>unverified</x:v>
      </x:c>
      <x:c r="Y29" s="41" t="str">
        <x:v>OZON</x:v>
      </x:c>
      <x:c r="Z29" s="41" t="str">
        <x:v>Финам</x:v>
      </x:c>
      <x:c r="AA29" s="41" t="str">
        <x:v>https://www.finam.ru/publications/item/aktsii-afk-sistema-podskochili-na-7-na-soobshcheniyakh-o-pokupke-doli-ozona-strukturami-sbera-20260528-1910/</x:v>
      </x:c>
      <x:c r="AB29" s="41" t="str">
        <x:v>Акции АФК "Система" подскочили на 7% на сообщениях о покупке доли "Озона" структурами "Сбера" - Финам</x:v>
      </x:c>
      <x:c r="AC29" s="41" t="str">
        <x:v>Screening record; verify against primary transaction documents.</x:v>
      </x:c>
    </x:row>
    <x:row r="30">
      <x:c r="A30" s="41" t="str">
        <x:v>DL-54c26c1e05d520bd</x:v>
      </x:c>
      <x:c r="B30" s="43" t="n">
        <x:v>46167</x:v>
      </x:c>
      <x:c r="C30" s="41" t="str">
        <x:v>M&amp;A</x:v>
      </x:c>
      <x:c r="D30" s="41" t="str">
        <x:v>Reported</x:v>
      </x:c>
      <x:c r="E30" s="41" t="str">
        <x:v>Not disclosed</x:v>
      </x:c>
      <x:c r="F30" s="41" t="str">
        <x:v>Ozon</x:v>
      </x:c>
      <x:c r="G30" s="41" t="str">
        <x:v>Not classified</x:v>
      </x:c>
      <x:c r="H30" s="41" t="str">
        <x:v>Not disclosed</x:v>
      </x:c>
      <x:c r="I30" s="44"/>
      <x:c r="J30" s="44"/>
      <x:c r="K30" s="41" t="str">
        <x:v>NOT DISCLOSED</x:v>
      </x:c>
      <x:c r="L30" s="45"/>
      <x:c r="M30" s="41" t="str">
        <x:v>Shares</x:v>
      </x:c>
      <x:c r="N30" s="41" t="str">
        <x:v>Not disclosed</x:v>
      </x:c>
      <x:c r="O30" s="44"/>
      <x:c r="P30" s="44"/>
      <x:c r="Q30" s="41" t="str">
        <x:v>Not disclosed</x:v>
      </x:c>
      <x:c r="R30" s="41" t="str">
        <x:v>Not disclosed</x:v>
      </x:c>
      <x:c r="S30" s="46" t="str">
        <x:f>IFERROR(IF(AND($J30&gt;0,$O30&gt;0,$K30=$R30),$J30/$O30,""),"")</x:f>
      </x:c>
      <x:c r="T30" s="46" t="str">
        <x:f>IFERROR(IF(AND($J30&gt;0,$P30&gt;0,$K30=$R30),$J30/$P30,""),"")</x:f>
      </x:c>
      <x:c r="U30" s="41" t="str">
        <x:v>Acquisition / disposal</x:v>
      </x:c>
      <x:c r="V30" s="41" t="str">
        <x:v>Not disclosed</x:v>
      </x:c>
      <x:c r="W30" s="41" t="n">
        <x:v>4</x:v>
      </x:c>
      <x:c r="X30" s="41" t="str">
        <x:v>unverified</x:v>
      </x:c>
      <x:c r="Y30" s="41" t="str">
        <x:v>OZON</x:v>
      </x:c>
      <x:c r="Z30" s="41" t="str">
        <x:v>Финам</x:v>
      </x:c>
      <x:c r="AA30" s="41" t="str">
        <x:v>https://www.finam.ru/publications/item/posledniy-den-pokupki-aktsiy-ozona-pod-dividendy-25-maya-20260525-0652/</x:v>
      </x:c>
      <x:c r="AB30" s="41" t="str">
        <x:v>25.05.26 Последний день покупки акций “Озона” под дивиденды - 25 мая - Финам</x:v>
      </x:c>
      <x:c r="AC30" s="41" t="str">
        <x:v>Screening record; verify against primary transaction documents.</x:v>
      </x:c>
    </x:row>
    <x:row r="31">
      <x:c r="A31" s="41" t="str">
        <x:v>DL-38b5154e2b53df8c</x:v>
      </x:c>
      <x:c r="B31" s="43" t="n">
        <x:v>46157</x:v>
      </x:c>
      <x:c r="C31" s="41" t="str">
        <x:v>ECM</x:v>
      </x:c>
      <x:c r="D31" s="41" t="str">
        <x:v>Reported</x:v>
      </x:c>
      <x:c r="E31" s="41" t="str">
        <x:v>Ozon</x:v>
      </x:c>
      <x:c r="F31" s="41" t="str">
        <x:v>Not applicable</x:v>
      </x:c>
      <x:c r="G31" s="41" t="str">
        <x:v>Financials</x:v>
      </x:c>
      <x:c r="H31" s="41" t="str">
        <x:v>Not disclosed</x:v>
      </x:c>
      <x:c r="I31" s="44"/>
      <x:c r="J31" s="44"/>
      <x:c r="K31" s="41" t="str">
        <x:v>NOT DISCLOSED</x:v>
      </x:c>
      <x:c r="L31" s="45"/>
      <x:c r="M31" s="41" t="str">
        <x:v>Not applicable</x:v>
      </x:c>
      <x:c r="N31" s="41" t="str">
        <x:v>Not disclosed</x:v>
      </x:c>
      <x:c r="O31" s="44"/>
      <x:c r="P31" s="44"/>
      <x:c r="Q31" s="41" t="str">
        <x:v>Not disclosed</x:v>
      </x:c>
      <x:c r="R31" s="41" t="str">
        <x:v>Not disclosed</x:v>
      </x:c>
      <x:c r="S31" s="46" t="str">
        <x:f>IFERROR(IF(AND($J31&gt;0,$O31&gt;0,$K31=$R31),$J31/$O31,""),"")</x:f>
      </x:c>
      <x:c r="T31" s="46" t="str">
        <x:f>IFERROR(IF(AND($J31&gt;0,$P31&gt;0,$K31=$R31),$J31/$P31,""),"")</x:f>
      </x:c>
      <x:c r="U31" s="41" t="str">
        <x:v>Equity issuance</x:v>
      </x:c>
      <x:c r="V31" s="41" t="str">
        <x:v>Not disclosed</x:v>
      </x:c>
      <x:c r="W31" s="41" t="n">
        <x:v>4</x:v>
      </x:c>
      <x:c r="X31" s="41" t="str">
        <x:v>unverified</x:v>
      </x:c>
      <x:c r="Y31" s="41" t="str">
        <x:v>OZON</x:v>
      </x:c>
      <x:c r="Z31" s="41" t="str">
        <x:v>Финам</x:v>
      </x:c>
      <x:c r="AA31" s="41" t="str">
        <x:v>https://www.finam.ru/publications/item/otchetnosti-zaymera-bsp-i-sovkombanka-dividendnyy-vopros-u-ozona-i-md-medikal-osnovnye-sobytiya-15-maya-20260515-0900/</x:v>
      </x:c>
      <x:c r="AB31" s="41" t="str">
        <x:v>Отчетности «Займера», БСП и «Совкомбанка», дивидендный вопрос у «Озона» и «МД Медикал» - основные события 15 мая 15.05.2026 - Финам</x:v>
      </x:c>
      <x:c r="AC31" s="41" t="str">
        <x:v>Screening record; verify against primary transaction documents.</x:v>
      </x:c>
    </x:row>
    <x:row r="32">
      <x:c r="A32" s="41" t="str">
        <x:v>DL-32f044efd41bc454</x:v>
      </x:c>
      <x:c r="B32" s="43" t="n">
        <x:v>46157</x:v>
      </x:c>
      <x:c r="C32" s="41" t="str">
        <x:v>M&amp;A</x:v>
      </x:c>
      <x:c r="D32" s="41" t="str">
        <x:v>Reported</x:v>
      </x:c>
      <x:c r="E32" s="41" t="str">
        <x:v>Not disclosed</x:v>
      </x:c>
      <x:c r="F32" s="41" t="str">
        <x:v>VKCO</x:v>
      </x:c>
      <x:c r="G32" s="41" t="str">
        <x:v>Not classified</x:v>
      </x:c>
      <x:c r="H32" s="41" t="str">
        <x:v>Not disclosed</x:v>
      </x:c>
      <x:c r="I32" s="44"/>
      <x:c r="J32" s="44"/>
      <x:c r="K32" s="41" t="str">
        <x:v>NOT DISCLOSED</x:v>
      </x:c>
      <x:c r="L32" s="45"/>
      <x:c r="M32" s="41" t="str">
        <x:v>Shares</x:v>
      </x:c>
      <x:c r="N32" s="41" t="str">
        <x:v>Not disclosed</x:v>
      </x:c>
      <x:c r="O32" s="44"/>
      <x:c r="P32" s="44"/>
      <x:c r="Q32" s="41" t="str">
        <x:v>Not disclosed</x:v>
      </x:c>
      <x:c r="R32" s="41" t="str">
        <x:v>Not disclosed</x:v>
      </x:c>
      <x:c r="S32" s="46" t="str">
        <x:f>IFERROR(IF(AND($J32&gt;0,$O32&gt;0,$K32=$R32),$J32/$O32,""),"")</x:f>
      </x:c>
      <x:c r="T32" s="46" t="str">
        <x:f>IFERROR(IF(AND($J32&gt;0,$P32&gt;0,$K32=$R32),$J32/$P32,""),"")</x:f>
      </x:c>
      <x:c r="U32" s="41" t="str">
        <x:v>Acquisition / disposal</x:v>
      </x:c>
      <x:c r="V32" s="41" t="str">
        <x:v>Not disclosed</x:v>
      </x:c>
      <x:c r="W32" s="41" t="n">
        <x:v>3</x:v>
      </x:c>
      <x:c r="X32" s="41" t="str">
        <x:v>unverified</x:v>
      </x:c>
      <x:c r="Y32" s="41" t="str"/>
      <x:c r="Z32" s="41" t="str">
        <x:v>Интерфакс</x:v>
      </x:c>
      <x:c r="AA32" s="41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AB32" s="41" t="str">
        <x:v>Трамп в I квартале совершал сделки с акциями Nvidia и Boeing - Интерфакс</x:v>
      </x:c>
      <x:c r="AC32" s="41" t="str">
        <x:v>Screening record; verify against primary transaction documents.</x:v>
      </x:c>
    </x:row>
    <x:row r="33">
      <x:c r="A33" s="41" t="str">
        <x:v>DL-71608263fecb5e53</x:v>
      </x:c>
      <x:c r="B33" s="43" t="n">
        <x:v>46150</x:v>
      </x:c>
      <x:c r="C33" s="41" t="str">
        <x:v>DCM</x:v>
      </x:c>
      <x:c r="D33" s="41" t="str">
        <x:v>Reported</x:v>
      </x:c>
      <x:c r="E33" s="41" t="str">
        <x:v>Делимобиль</x:v>
      </x:c>
      <x:c r="F33" s="41" t="str">
        <x:v>Not applicable</x:v>
      </x:c>
      <x:c r="G33" s="41" t="str">
        <x:v>Not classified</x:v>
      </x:c>
      <x:c r="H33" s="41" t="str">
        <x:v>Russia</x:v>
      </x:c>
      <x:c r="I33" s="44" t="n">
        <x:v>1900000000</x:v>
      </x:c>
      <x:c r="J33" s="44"/>
      <x:c r="K33" s="41" t="str">
        <x:v>RUB</x:v>
      </x:c>
      <x:c r="L33" s="45"/>
      <x:c r="M33" s="41" t="str">
        <x:v>Not applicable</x:v>
      </x:c>
      <x:c r="N33" s="41" t="str">
        <x:v>Not disclosed</x:v>
      </x:c>
      <x:c r="O33" s="44"/>
      <x:c r="P33" s="44"/>
      <x:c r="Q33" s="41" t="str">
        <x:v>Not disclosed</x:v>
      </x:c>
      <x:c r="R33" s="41" t="str">
        <x:v>Not disclosed</x:v>
      </x:c>
      <x:c r="S33" s="46" t="str">
        <x:f>IFERROR(IF(AND($J33&gt;0,$O33&gt;0,$K33=$R33),$J33/$O33,""),"")</x:f>
      </x:c>
      <x:c r="T33" s="46" t="str">
        <x:f>IFERROR(IF(AND($J33&gt;0,$P33&gt;0,$K33=$R33),$J33/$P33,""),"")</x:f>
      </x:c>
      <x:c r="U33" s="41" t="str">
        <x:v>Bonds</x:v>
      </x:c>
      <x:c r="V33" s="41" t="str">
        <x:v>погашения выпуска облигаций на 1,9 млрд рублей</x:v>
      </x:c>
      <x:c r="W33" s="41" t="n">
        <x:v>3</x:v>
      </x:c>
      <x:c r="X33" s="41" t="str">
        <x:v>unverified</x:v>
      </x:c>
      <x:c r="Y33" s="41" t="str"/>
      <x:c r="Z33" s="41" t="str">
        <x:v>Интерфакс</x:v>
      </x:c>
      <x:c r="AA33" s="41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AB33" s="41" t="str">
        <x:v>"Делимобиль" перечислил в НРД средства для погашения выпуска облигаций на 1,9 млрд рублей - Интерфакс</x:v>
      </x:c>
      <x:c r="AC33" s="41" t="str">
        <x:v>Screening record; verify against primary transaction documents.</x:v>
      </x:c>
    </x:row>
    <x:row r="34">
      <x:c r="A34" s="41" t="str">
        <x:v>DL-2848bdd8b067faa2</x:v>
      </x:c>
      <x:c r="B34" s="43" t="n">
        <x:v>46147</x:v>
      </x:c>
      <x:c r="C34" s="41" t="str">
        <x:v>ECM</x:v>
      </x:c>
      <x:c r="D34" s="41" t="str">
        <x:v>Reported</x:v>
      </x:c>
      <x:c r="E34" s="41" t="str">
        <x:v>Yandex</x:v>
      </x:c>
      <x:c r="F34" s="41" t="str">
        <x:v>Not applicable</x:v>
      </x:c>
      <x:c r="G34" s="41" t="str">
        <x:v>Not classified</x:v>
      </x:c>
      <x:c r="H34" s="41" t="str">
        <x:v>Russia</x:v>
      </x:c>
      <x:c r="I34" s="44" t="n">
        <x:v>50000000000</x:v>
      </x:c>
      <x:c r="J34" s="44"/>
      <x:c r="K34" s="41" t="str">
        <x:v>RUB</x:v>
      </x:c>
      <x:c r="L34" s="45"/>
      <x:c r="M34" s="41" t="str">
        <x:v>Not applicable</x:v>
      </x:c>
      <x:c r="N34" s="41" t="str">
        <x:v>Not disclosed</x:v>
      </x:c>
      <x:c r="O34" s="44"/>
      <x:c r="P34" s="44"/>
      <x:c r="Q34" s="41" t="str">
        <x:v>Not disclosed</x:v>
      </x:c>
      <x:c r="R34" s="41" t="str">
        <x:v>Not disclosed</x:v>
      </x:c>
      <x:c r="S34" s="46" t="str">
        <x:f>IFERROR(IF(AND($J34&gt;0,$O34&gt;0,$K34=$R34),$J34/$O34,""),"")</x:f>
      </x:c>
      <x:c r="T34" s="46" t="str">
        <x:f>IFERROR(IF(AND($J34&gt;0,$P34&gt;0,$K34=$R34),$J34/$P34,""),"")</x:f>
      </x:c>
      <x:c r="U34" s="41" t="str">
        <x:v>Equity issuance</x:v>
      </x:c>
      <x:c r="V34" s="41" t="str">
        <x:v>Not disclosed</x:v>
      </x:c>
      <x:c r="W34" s="41" t="n">
        <x:v>4</x:v>
      </x:c>
      <x:c r="X34" s="41" t="str">
        <x:v>unverified</x:v>
      </x:c>
      <x:c r="Y34" s="41" t="str">
        <x:v>YDEX</x:v>
      </x:c>
      <x:c r="Z34" s="41" t="str">
        <x:v>БКС Экспресс</x:v>
      </x:c>
      <x:c r="AA34" s="41" t="str">
        <x:v>https://bcs-express.ru/novosti-i-analitika/iandeks-odobril-vykup-aktsii-na-50-mlrd-rublei</x:v>
      </x:c>
      <x:c r="AB34" s="41" t="str">
        <x:v>Яндекс одобрил выкуп акций на 50 млрд рублей - БКС Экспресс</x:v>
      </x:c>
      <x:c r="AC34" s="41" t="str">
        <x:v>Screening record; verify against primary transaction documents.</x:v>
      </x:c>
    </x:row>
    <x:row r="35">
      <x:c r="A35" s="41" t="str">
        <x:v>DL-3d4a31cc3b7936d0</x:v>
      </x:c>
      <x:c r="B35" s="43" t="n">
        <x:v>46146</x:v>
      </x:c>
      <x:c r="C35" s="41" t="str">
        <x:v>ECM</x:v>
      </x:c>
      <x:c r="D35" s="41" t="str">
        <x:v>Reported</x:v>
      </x:c>
      <x:c r="E35" s="41" t="str">
        <x:v>Yandex</x:v>
      </x:c>
      <x:c r="F35" s="41" t="str">
        <x:v>Not applicable</x:v>
      </x:c>
      <x:c r="G35" s="41" t="str">
        <x:v>Energy</x:v>
      </x:c>
      <x:c r="H35" s="41" t="str">
        <x:v>Not disclosed</x:v>
      </x:c>
      <x:c r="I35" s="44"/>
      <x:c r="J35" s="44"/>
      <x:c r="K35" s="41" t="str">
        <x:v>NOT DISCLOSED</x:v>
      </x:c>
      <x:c r="L35" s="45"/>
      <x:c r="M35" s="41" t="str">
        <x:v>Not applicable</x:v>
      </x:c>
      <x:c r="N35" s="41" t="str">
        <x:v>Not disclosed</x:v>
      </x:c>
      <x:c r="O35" s="44"/>
      <x:c r="P35" s="44"/>
      <x:c r="Q35" s="41" t="str">
        <x:v>Not disclosed</x:v>
      </x:c>
      <x:c r="R35" s="41" t="str">
        <x:v>Not disclosed</x:v>
      </x:c>
      <x:c r="S35" s="46" t="str">
        <x:f>IFERROR(IF(AND($J35&gt;0,$O35&gt;0,$K35=$R35),$J35/$O35,""),"")</x:f>
      </x:c>
      <x:c r="T35" s="46" t="str">
        <x:f>IFERROR(IF(AND($J35&gt;0,$P35&gt;0,$K35=$R35),$J35/$P35,""),"")</x:f>
      </x:c>
      <x:c r="U35" s="41" t="str">
        <x:v>Equity issuance</x:v>
      </x:c>
      <x:c r="V35" s="41" t="str">
        <x:v>Not disclosed</x:v>
      </x:c>
      <x:c r="W35" s="41" t="n">
        <x:v>4</x:v>
      </x:c>
      <x:c r="X35" s="41" t="str">
        <x:v>unverified</x:v>
      </x:c>
      <x:c r="Y35" s="41" t="str">
        <x:v>YDEX, OZON</x:v>
      </x:c>
      <x:c r="Z35" s="41" t="str">
        <x:v>SberCIB</x:v>
      </x:c>
      <x:c r="AA35" s="41" t="str">
        <x:v>https://sbercib.ru/publication/rezultati-ozon-dom-rf-dividendi-yandeksa-i-tatnefti-i-drugie-novosti-nedeli</x:v>
      </x:c>
      <x:c r="AB35" s="41" t="str">
        <x:v>Результаты Ozon, ДОМ. РФ, дивиденды Яндекса и Татнефти и другие новости недели - SberCIB</x:v>
      </x:c>
      <x:c r="AC35" s="41" t="str">
        <x:v>Screening record; verify against primary transaction documents.</x:v>
      </x:c>
    </x:row>
    <x:row r="36">
      <x:c r="A36" s="41" t="str">
        <x:v>DL-6bc0569f7ac374fe</x:v>
      </x:c>
      <x:c r="B36" s="43" t="n">
        <x:v>46139</x:v>
      </x:c>
      <x:c r="C36" s="41" t="str">
        <x:v>M&amp;A</x:v>
      </x:c>
      <x:c r="D36" s="41" t="str">
        <x:v>Reported</x:v>
      </x:c>
      <x:c r="E36" s="41" t="str">
        <x:v>Not disclosed</x:v>
      </x:c>
      <x:c r="F36" s="41" t="str">
        <x:v>Ozon</x:v>
      </x:c>
      <x:c r="G36" s="41" t="str">
        <x:v>Financials</x:v>
      </x:c>
      <x:c r="H36" s="41" t="str">
        <x:v>Not disclosed</x:v>
      </x:c>
      <x:c r="I36" s="44"/>
      <x:c r="J36" s="44"/>
      <x:c r="K36" s="41" t="str">
        <x:v>NOT DISCLOSED</x:v>
      </x:c>
      <x:c r="L36" s="45"/>
      <x:c r="M36" s="41" t="str">
        <x:v>Shares</x:v>
      </x:c>
      <x:c r="N36" s="41" t="str">
        <x:v>Not disclosed</x:v>
      </x:c>
      <x:c r="O36" s="44"/>
      <x:c r="P36" s="44"/>
      <x:c r="Q36" s="41" t="str">
        <x:v>Not disclosed</x:v>
      </x:c>
      <x:c r="R36" s="41" t="str">
        <x:v>Not disclosed</x:v>
      </x:c>
      <x:c r="S36" s="46" t="str">
        <x:f>IFERROR(IF(AND($J36&gt;0,$O36&gt;0,$K36=$R36),$J36/$O36,""),"")</x:f>
      </x:c>
      <x:c r="T36" s="46" t="str">
        <x:f>IFERROR(IF(AND($J36&gt;0,$P36&gt;0,$K36=$R36),$J36/$P36,""),"")</x:f>
      </x:c>
      <x:c r="U36" s="41" t="str">
        <x:v>Acquisition / disposal</x:v>
      </x:c>
      <x:c r="V36" s="41" t="str">
        <x:v>Not disclosed</x:v>
      </x:c>
      <x:c r="W36" s="41" t="n">
        <x:v>4</x:v>
      </x:c>
      <x:c r="X36" s="41" t="str">
        <x:v>unverified</x:v>
      </x:c>
      <x:c r="Y36" s="41" t="str">
        <x:v>OZON</x:v>
      </x:c>
      <x:c r="Z36" s="41" t="str">
        <x:v>Ведомости</x:v>
      </x:c>
      <x:c r="AA36" s="41" t="str">
        <x:v>https://www.vedomosti.ru/finance/news/2026/04/27/1193355-putin-isklyuchil</x:v>
      </x:c>
      <x:c r="AB36" s="41" t="str">
        <x:v>Путин исключил «Озон банк» из списка с запретом на сделки с акциями и долями - Ведомости</x:v>
      </x:c>
      <x:c r="AC36" s="41" t="str">
        <x:v>Screening record; verify against primary transaction documents.</x:v>
      </x:c>
    </x:row>
    <x:row r="37">
      <x:c r="A37" s="41" t="str">
        <x:v>DL-cc671fa6b14f8f28</x:v>
      </x:c>
      <x:c r="B37" s="43" t="n">
        <x:v>46139</x:v>
      </x:c>
      <x:c r="C37" s="41" t="str">
        <x:v>M&amp;A</x:v>
      </x:c>
      <x:c r="D37" s="41" t="str">
        <x:v>Reported</x:v>
      </x:c>
      <x:c r="E37" s="41" t="str">
        <x:v>Not disclosed</x:v>
      </x:c>
      <x:c r="F37" s="41" t="str">
        <x:v>Ozon</x:v>
      </x:c>
      <x:c r="G37" s="41" t="str">
        <x:v>Financials</x:v>
      </x:c>
      <x:c r="H37" s="41" t="str">
        <x:v>Not disclosed</x:v>
      </x:c>
      <x:c r="I37" s="44"/>
      <x:c r="J37" s="44"/>
      <x:c r="K37" s="41" t="str">
        <x:v>NOT DISCLOSED</x:v>
      </x:c>
      <x:c r="L37" s="45"/>
      <x:c r="M37" s="41" t="str">
        <x:v>Shares</x:v>
      </x:c>
      <x:c r="N37" s="41" t="str">
        <x:v>Not disclosed</x:v>
      </x:c>
      <x:c r="O37" s="44"/>
      <x:c r="P37" s="44"/>
      <x:c r="Q37" s="41" t="str">
        <x:v>Not disclosed</x:v>
      </x:c>
      <x:c r="R37" s="41" t="str">
        <x:v>Not disclosed</x:v>
      </x:c>
      <x:c r="S37" s="46" t="str">
        <x:f>IFERROR(IF(AND($J37&gt;0,$O37&gt;0,$K37=$R37),$J37/$O37,""),"")</x:f>
      </x:c>
      <x:c r="T37" s="46" t="str">
        <x:f>IFERROR(IF(AND($J37&gt;0,$P37&gt;0,$K37=$R37),$J37/$P37,""),"")</x:f>
      </x:c>
      <x:c r="U37" s="41" t="str">
        <x:v>Acquisition / disposal</x:v>
      </x:c>
      <x:c r="V37" s="41" t="str">
        <x:v>Not disclosed</x:v>
      </x:c>
      <x:c r="W37" s="41" t="n">
        <x:v>4</x:v>
      </x:c>
      <x:c r="X37" s="41" t="str">
        <x:v>unverified</x:v>
      </x:c>
      <x:c r="Y37" s="41" t="str">
        <x:v>OZON</x:v>
      </x:c>
      <x:c r="Z37" s="41" t="str">
        <x:v>БКС Экспресс</x:v>
      </x:c>
      <x:c r="AA37" s="41" t="str">
        <x:v>https://bcs-express.ru/novosti-i-analitika/ozon-bank-iskliuchen-iz-perechnia-bankov-s-aktsiiami-kotorykh-zapreshcheny-sdelki</x:v>
      </x:c>
      <x:c r="AB37" s="41" t="str">
        <x:v>Ozon Банк исключен из перечня банков, с акциями которых запрещены сделки - БКС Экспресс</x:v>
      </x:c>
      <x:c r="AC37" s="41" t="str">
        <x:v>Screening record; verify against primary transaction documents.</x:v>
      </x:c>
    </x:row>
    <x:row r="38">
      <x:c r="A38" s="41" t="str">
        <x:v>DL-2d1ef3023240f32a</x:v>
      </x:c>
      <x:c r="B38" s="43" t="n">
        <x:v>46139</x:v>
      </x:c>
      <x:c r="C38" s="41" t="str">
        <x:v>M&amp;A</x:v>
      </x:c>
      <x:c r="D38" s="41" t="str">
        <x:v>Reported</x:v>
      </x:c>
      <x:c r="E38" s="41" t="str">
        <x:v>Not disclosed</x:v>
      </x:c>
      <x:c r="F38" s="41" t="str">
        <x:v>Ozon</x:v>
      </x:c>
      <x:c r="G38" s="41" t="str">
        <x:v>Financials</x:v>
      </x:c>
      <x:c r="H38" s="41" t="str">
        <x:v>Not disclosed</x:v>
      </x:c>
      <x:c r="I38" s="44"/>
      <x:c r="J38" s="44"/>
      <x:c r="K38" s="41" t="str">
        <x:v>NOT DISCLOSED</x:v>
      </x:c>
      <x:c r="L38" s="45"/>
      <x:c r="M38" s="41" t="str">
        <x:v>Shares</x:v>
      </x:c>
      <x:c r="N38" s="41" t="str">
        <x:v>Not disclosed</x:v>
      </x:c>
      <x:c r="O38" s="44"/>
      <x:c r="P38" s="44"/>
      <x:c r="Q38" s="41" t="str">
        <x:v>Not disclosed</x:v>
      </x:c>
      <x:c r="R38" s="41" t="str">
        <x:v>Not disclosed</x:v>
      </x:c>
      <x:c r="S38" s="46" t="str">
        <x:f>IFERROR(IF(AND($J38&gt;0,$O38&gt;0,$K38=$R38),$J38/$O38,""),"")</x:f>
      </x:c>
      <x:c r="T38" s="46" t="str">
        <x:f>IFERROR(IF(AND($J38&gt;0,$P38&gt;0,$K38=$R38),$J38/$P38,""),"")</x:f>
      </x:c>
      <x:c r="U38" s="41" t="str">
        <x:v>Acquisition / disposal</x:v>
      </x:c>
      <x:c r="V38" s="41" t="str">
        <x:v>Not disclosed</x:v>
      </x:c>
      <x:c r="W38" s="41" t="n">
        <x:v>4</x:v>
      </x:c>
      <x:c r="X38" s="41" t="str">
        <x:v>unverified</x:v>
      </x:c>
      <x:c r="Y38" s="41" t="str">
        <x:v>OZON</x:v>
      </x:c>
      <x:c r="Z38" s="41" t="str">
        <x:v>Главпортал</x:v>
      </x:c>
      <x:c r="AA38" s="41" t="str">
        <x:v>https://glavportal.com/news/putin-razreshil-sdelki-s-akciyami-ozon-banka</x:v>
      </x:c>
      <x:c r="AB38" s="41" t="str">
        <x:v>Путин разрешил сделки с акциями «Озон банка» - Главпортал</x:v>
      </x:c>
      <x:c r="AC38" s="41" t="str">
        <x:v>Screening record; verify against primary transaction documents.</x:v>
      </x:c>
    </x:row>
    <x:row r="39">
      <x:c r="A39" s="41" t="str">
        <x:v>DL-dd21f961f579e55a</x:v>
      </x:c>
      <x:c r="B39" s="43" t="n">
        <x:v>46139</x:v>
      </x:c>
      <x:c r="C39" s="41" t="str">
        <x:v>M&amp;A</x:v>
      </x:c>
      <x:c r="D39" s="41" t="str">
        <x:v>Reported</x:v>
      </x:c>
      <x:c r="E39" s="41" t="str">
        <x:v>Not disclosed</x:v>
      </x:c>
      <x:c r="F39" s="41" t="str">
        <x:v>Ozon</x:v>
      </x:c>
      <x:c r="G39" s="41" t="str">
        <x:v>Financials</x:v>
      </x:c>
      <x:c r="H39" s="41" t="str">
        <x:v>Not disclosed</x:v>
      </x:c>
      <x:c r="I39" s="44"/>
      <x:c r="J39" s="44"/>
      <x:c r="K39" s="41" t="str">
        <x:v>NOT DISCLOSED</x:v>
      </x:c>
      <x:c r="L39" s="45"/>
      <x:c r="M39" s="41" t="str">
        <x:v>Shares</x:v>
      </x:c>
      <x:c r="N39" s="41" t="str">
        <x:v>Not disclosed</x:v>
      </x:c>
      <x:c r="O39" s="44"/>
      <x:c r="P39" s="44"/>
      <x:c r="Q39" s="41" t="str">
        <x:v>Not disclosed</x:v>
      </x:c>
      <x:c r="R39" s="41" t="str">
        <x:v>Not disclosed</x:v>
      </x:c>
      <x:c r="S39" s="46" t="str">
        <x:f>IFERROR(IF(AND($J39&gt;0,$O39&gt;0,$K39=$R39),$J39/$O39,""),"")</x:f>
      </x:c>
      <x:c r="T39" s="46" t="str">
        <x:f>IFERROR(IF(AND($J39&gt;0,$P39&gt;0,$K39=$R39),$J39/$P39,""),"")</x:f>
      </x:c>
      <x:c r="U39" s="41" t="str">
        <x:v>Acquisition / disposal</x:v>
      </x:c>
      <x:c r="V39" s="41" t="str">
        <x:v>Not disclosed</x:v>
      </x:c>
      <x:c r="W39" s="41" t="n">
        <x:v>4</x:v>
      </x:c>
      <x:c r="X39" s="41" t="str">
        <x:v>unverified</x:v>
      </x:c>
      <x:c r="Y39" s="41" t="str">
        <x:v>OZON</x:v>
      </x:c>
      <x:c r="Z39" s="41" t="str">
        <x:v>Реальное время</x:v>
      </x:c>
      <x:c r="AA39" s="41" t="str">
        <x:v>https://realnoevremya.ru/news/394463-s-ozon-banka-snyali-ogranicheniya-na-sdelki-s-akciyami-rasporyazhenie-putina</x:v>
      </x:c>
      <x:c r="AB39" s="41" t="str">
        <x:v>С «Озон банка» сняли ограничения на сделки с акциями — распоряжение Путина - Реальное время</x:v>
      </x:c>
      <x:c r="AC39" s="41" t="str">
        <x:v>Screening record; verify against primary transaction documents.</x:v>
      </x:c>
    </x:row>
    <x:row r="40">
      <x:c r="A40" s="41" t="str">
        <x:v>DL-09b72d880f67361b</x:v>
      </x:c>
      <x:c r="B40" s="43" t="n">
        <x:v>46139</x:v>
      </x:c>
      <x:c r="C40" s="41" t="str">
        <x:v>M&amp;A</x:v>
      </x:c>
      <x:c r="D40" s="41" t="str">
        <x:v>Reported</x:v>
      </x:c>
      <x:c r="E40" s="41" t="str">
        <x:v>Not disclosed</x:v>
      </x:c>
      <x:c r="F40" s="41" t="str">
        <x:v>Ozon</x:v>
      </x:c>
      <x:c r="G40" s="41" t="str">
        <x:v>Financials</x:v>
      </x:c>
      <x:c r="H40" s="41" t="str">
        <x:v>Russia</x:v>
      </x:c>
      <x:c r="I40" s="44"/>
      <x:c r="J40" s="44"/>
      <x:c r="K40" s="41" t="str">
        <x:v>NOT DISCLOSED</x:v>
      </x:c>
      <x:c r="L40" s="45"/>
      <x:c r="M40" s="41" t="str">
        <x:v>Shares</x:v>
      </x:c>
      <x:c r="N40" s="41" t="str">
        <x:v>Not disclosed</x:v>
      </x:c>
      <x:c r="O40" s="44"/>
      <x:c r="P40" s="44"/>
      <x:c r="Q40" s="41" t="str">
        <x:v>Not disclosed</x:v>
      </x:c>
      <x:c r="R40" s="41" t="str">
        <x:v>Not disclosed</x:v>
      </x:c>
      <x:c r="S40" s="46" t="str">
        <x:f>IFERROR(IF(AND($J40&gt;0,$O40&gt;0,$K40=$R40),$J40/$O40,""),"")</x:f>
      </x:c>
      <x:c r="T40" s="46" t="str">
        <x:f>IFERROR(IF(AND($J40&gt;0,$P40&gt;0,$K40=$R40),$J40/$P40,""),"")</x:f>
      </x:c>
      <x:c r="U40" s="41" t="str">
        <x:v>Acquisition / disposal</x:v>
      </x:c>
      <x:c r="V40" s="41" t="str">
        <x:v>Not disclosed</x:v>
      </x:c>
      <x:c r="W40" s="41" t="n">
        <x:v>4</x:v>
      </x:c>
      <x:c r="X40" s="41" t="str">
        <x:v>unverified</x:v>
      </x:c>
      <x:c r="Y40" s="41" t="str">
        <x:v>OZON</x:v>
      </x:c>
      <x:c r="Z40" s="41" t="str">
        <x:v>InvestFuture</x:v>
      </x:c>
      <x:c r="AA40" s="41" t="str">
        <x:v>https://investfuture.ru/articles/putin-snyal-zapret-na-sdelki-s-aktsiyami-ozon-banka-v-rossii-1178931397</x:v>
      </x:c>
      <x:c r="AB40" s="41" t="str">
        <x:v>Путин снял запрет на сделки с акциями Озон банка в России | IF | 27.04.2026 - InvestFuture</x:v>
      </x:c>
      <x:c r="AC40" s="41" t="str">
        <x:v>Screening record; verify against primary transaction documents.</x:v>
      </x:c>
    </x:row>
    <x:row r="41">
      <x:c r="A41" s="41" t="str">
        <x:v>DL-0bceebeca9933dc3</x:v>
      </x:c>
      <x:c r="B41" s="43" t="n">
        <x:v>46132</x:v>
      </x:c>
      <x:c r="C41" s="41" t="str">
        <x:v>DCM</x:v>
      </x:c>
      <x:c r="D41" s="41" t="str">
        <x:v>Reported</x:v>
      </x:c>
      <x:c r="E41" s="41" t="str">
        <x:v>Ozon</x:v>
      </x:c>
      <x:c r="F41" s="41" t="str">
        <x:v>Not applicable</x:v>
      </x:c>
      <x:c r="G41" s="41" t="str">
        <x:v>Financials</x:v>
      </x:c>
      <x:c r="H41" s="41" t="str">
        <x:v>Not disclosed</x:v>
      </x:c>
      <x:c r="I41" s="44"/>
      <x:c r="J41" s="44"/>
      <x:c r="K41" s="41" t="str">
        <x:v>NOT DISCLOSED</x:v>
      </x:c>
      <x:c r="L41" s="45"/>
      <x:c r="M41" s="41" t="str">
        <x:v>Not applicable</x:v>
      </x:c>
      <x:c r="N41" s="41" t="str">
        <x:v>Not disclosed</x:v>
      </x:c>
      <x:c r="O41" s="44"/>
      <x:c r="P41" s="44"/>
      <x:c r="Q41" s="41" t="str">
        <x:v>Not disclosed</x:v>
      </x:c>
      <x:c r="R41" s="41" t="str">
        <x:v>Not disclosed</x:v>
      </x:c>
      <x:c r="S41" s="46" t="str">
        <x:f>IFERROR(IF(AND($J41&gt;0,$O41&gt;0,$K41=$R41),$J41/$O41,""),"")</x:f>
      </x:c>
      <x:c r="T41" s="46" t="str">
        <x:f>IFERROR(IF(AND($J41&gt;0,$P41&gt;0,$K41=$R41),$J41/$P41,""),"")</x:f>
      </x:c>
      <x:c r="U41" s="41" t="str">
        <x:v>Bonds</x:v>
      </x:c>
      <x:c r="V41" s="41" t="str">
        <x:v>Not disclosed</x:v>
      </x:c>
      <x:c r="W41" s="41" t="n">
        <x:v>4</x:v>
      </x:c>
      <x:c r="X41" s="41" t="str">
        <x:v>unverified</x:v>
      </x:c>
      <x:c r="Y41" s="41" t="str">
        <x:v>OZON</x:v>
      </x:c>
      <x:c r="Z41" s="41" t="str">
        <x:v>Альфа-Банк</x:v>
      </x:c>
      <x:c r="AA41" s="41" t="str">
        <x:v>https://alfabank.ru/alfa-investor/t/obligatsii-ozona-zarabotay-na-marketpleyse/</x:v>
      </x:c>
      <x:c r="AB41" s="41" t="str">
        <x:v>Облигации Озона: заработай на маркетплейсе - Альфа-Банк</x:v>
      </x:c>
      <x:c r="AC41" s="41" t="str">
        <x:v>Screening record; verify against primary transaction documents.</x:v>
      </x:c>
    </x:row>
    <x:row r="42">
      <x:c r="A42" s="41" t="str">
        <x:v>DL-c10daba8af8e67d8</x:v>
      </x:c>
      <x:c r="B42" s="43" t="n">
        <x:v>46128</x:v>
      </x:c>
      <x:c r="C42" s="41" t="str">
        <x:v>M&amp;A</x:v>
      </x:c>
      <x:c r="D42" s="41" t="str">
        <x:v>Reported</x:v>
      </x:c>
      <x:c r="E42" s="41" t="str">
        <x:v>Not disclosed</x:v>
      </x:c>
      <x:c r="F42" s="41" t="str">
        <x:v>VK</x:v>
      </x:c>
      <x:c r="G42" s="41" t="str">
        <x:v>Financials</x:v>
      </x:c>
      <x:c r="H42" s="41" t="str">
        <x:v>Not disclosed</x:v>
      </x:c>
      <x:c r="I42" s="44" t="n">
        <x:v>21200000000</x:v>
      </x:c>
      <x:c r="J42" s="44"/>
      <x:c r="K42" s="41" t="str">
        <x:v>RUB</x:v>
      </x:c>
      <x:c r="L42" s="45" t="n">
        <x:v>0.25</x:v>
      </x:c>
      <x:c r="M42" s="41" t="str">
        <x:v>Shares</x:v>
      </x:c>
      <x:c r="N42" s="41" t="str">
        <x:v>Not disclosed</x:v>
      </x:c>
      <x:c r="O42" s="44"/>
      <x:c r="P42" s="44"/>
      <x:c r="Q42" s="41" t="str">
        <x:v>Not disclosed</x:v>
      </x:c>
      <x:c r="R42" s="41" t="str">
        <x:v>Not disclosed</x:v>
      </x:c>
      <x:c r="S42" s="46" t="str">
        <x:f>IFERROR(IF(AND($J42&gt;0,$O42&gt;0,$K42=$R42),$J42/$O42,""),"")</x:f>
      </x:c>
      <x:c r="T42" s="46" t="str">
        <x:f>IFERROR(IF(AND($J42&gt;0,$P42&gt;0,$K42=$R42),$J42/$P42,""),"")</x:f>
      </x:c>
      <x:c r="U42" s="41" t="str">
        <x:v>Acquisition / disposal</x:v>
      </x:c>
      <x:c r="V42" s="41" t="str">
        <x:v>Not disclosed</x:v>
      </x:c>
      <x:c r="W42" s="41" t="n">
        <x:v>6</x:v>
      </x:c>
      <x:c r="X42" s="41" t="str">
        <x:v>unverified</x:v>
      </x:c>
      <x:c r="Y42" s="41" t="str">
        <x:v>VKCO</x:v>
      </x:c>
      <x:c r="Z42" s="41" t="str">
        <x:v>RB.ru</x:v>
      </x:c>
      <x:c r="AA42" s="41" t="str">
        <x:v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x:v>
      </x:c>
      <x:c r="AB42" s="41" t="str">
        <x:v>VK продал 25% акций Точка Банка: сделку оценили в 21,2 млрд ₽ — вдвое выше изначальной стоимости бумаг - RB.ru</x:v>
      </x:c>
      <x:c r="AC42" s="41" t="str">
        <x:v>Screening record; verify against primary transaction documents.</x:v>
      </x:c>
    </x:row>
    <x:row r="43">
      <x:c r="A43" s="41" t="str">
        <x:v>DL-4d20ecb8f5c75dad</x:v>
      </x:c>
      <x:c r="B43" s="43" t="n">
        <x:v>46128</x:v>
      </x:c>
      <x:c r="C43" s="41" t="str">
        <x:v>M&amp;A</x:v>
      </x:c>
      <x:c r="D43" s="41" t="str">
        <x:v>Reported</x:v>
      </x:c>
      <x:c r="E43" s="41" t="str">
        <x:v>Not disclosed</x:v>
      </x:c>
      <x:c r="F43" s="41" t="str">
        <x:v>VK</x:v>
      </x:c>
      <x:c r="G43" s="41" t="str">
        <x:v>Financials</x:v>
      </x:c>
      <x:c r="H43" s="41" t="str">
        <x:v>Russia</x:v>
      </x:c>
      <x:c r="I43" s="44" t="n">
        <x:v>21200000000</x:v>
      </x:c>
      <x:c r="J43" s="44"/>
      <x:c r="K43" s="41" t="str">
        <x:v>RUB</x:v>
      </x:c>
      <x:c r="L43" s="45"/>
      <x:c r="M43" s="41" t="str">
        <x:v>Not disclosed</x:v>
      </x:c>
      <x:c r="N43" s="41" t="str">
        <x:v>Not disclosed</x:v>
      </x:c>
      <x:c r="O43" s="44"/>
      <x:c r="P43" s="44"/>
      <x:c r="Q43" s="41" t="str">
        <x:v>Not disclosed</x:v>
      </x:c>
      <x:c r="R43" s="41" t="str">
        <x:v>Not disclosed</x:v>
      </x:c>
      <x:c r="S43" s="46" t="str">
        <x:f>IFERROR(IF(AND($J43&gt;0,$O43&gt;0,$K43=$R43),$J43/$O43,""),"")</x:f>
      </x:c>
      <x:c r="T43" s="46" t="str">
        <x:f>IFERROR(IF(AND($J43&gt;0,$P43&gt;0,$K43=$R43),$J43/$P43,""),"")</x:f>
      </x:c>
      <x:c r="U43" s="41" t="str">
        <x:v>Acquisition / disposal</x:v>
      </x:c>
      <x:c r="V43" s="41" t="str">
        <x:v>Not disclosed</x:v>
      </x:c>
      <x:c r="W43" s="41" t="n">
        <x:v>4</x:v>
      </x:c>
      <x:c r="X43" s="41" t="str">
        <x:v>unverified</x:v>
      </x:c>
      <x:c r="Y43" s="41" t="str">
        <x:v>VKCO</x:v>
      </x:c>
      <x:c r="Z43" s="41" t="str">
        <x:v>Ведомости</x:v>
      </x:c>
      <x:c r="AA43" s="41" t="str">
        <x:v>https://news.google.com/rss/articles/CBMifkFVX3lxTE1vSUlEOTl2cU5jckxzemNzN2oyNVZaX203N1VWRkpuZXNwYV9sdUNGMTZPTHhiNm5LWFBmdFM0QkFTRjFPczd4VEFlTEZpRzhiakF2ZGh5UU5kamRvbnFRTDE5dG8zOF9HRkk5MDUwVzBWbU9qWEN0MDhIdTJNUQ?oc=5</x:v>
      </x:c>
      <x:c r="AB43" s="41" t="str">
        <x:v>VK продала долю в «Точка банке» по цене не менее 21,2 млрд рублей - Ведомости</x:v>
      </x:c>
      <x:c r="AC43" s="41" t="str">
        <x:v>Screening record; verify against primary transaction documents.</x:v>
      </x:c>
    </x:row>
    <x:row r="44">
      <x:c r="A44" s="41" t="str">
        <x:v>DL-dfc59ea0a0794532</x:v>
      </x:c>
      <x:c r="B44" s="43" t="n">
        <x:v>46128</x:v>
      </x:c>
      <x:c r="C44" s="41" t="str">
        <x:v>M&amp;A</x:v>
      </x:c>
      <x:c r="D44" s="41" t="str">
        <x:v>Reported</x:v>
      </x:c>
      <x:c r="E44" s="41" t="str">
        <x:v>Not disclosed</x:v>
      </x:c>
      <x:c r="F44" s="41" t="str">
        <x:v>VK</x:v>
      </x:c>
      <x:c r="G44" s="41" t="str">
        <x:v>Financials</x:v>
      </x:c>
      <x:c r="H44" s="41" t="str">
        <x:v>Not disclosed</x:v>
      </x:c>
      <x:c r="I44" s="44"/>
      <x:c r="J44" s="44"/>
      <x:c r="K44" s="41" t="str">
        <x:v>NOT DISCLOSED</x:v>
      </x:c>
      <x:c r="L44" s="45"/>
      <x:c r="M44" s="41" t="str">
        <x:v>Not disclosed</x:v>
      </x:c>
      <x:c r="N44" s="41" t="str">
        <x:v>Not disclosed</x:v>
      </x:c>
      <x:c r="O44" s="44"/>
      <x:c r="P44" s="44"/>
      <x:c r="Q44" s="41" t="str">
        <x:v>Not disclosed</x:v>
      </x:c>
      <x:c r="R44" s="41" t="str">
        <x:v>Not disclosed</x:v>
      </x:c>
      <x:c r="S44" s="46" t="str">
        <x:f>IFERROR(IF(AND($J44&gt;0,$O44&gt;0,$K44=$R44),$J44/$O44,""),"")</x:f>
      </x:c>
      <x:c r="T44" s="46" t="str">
        <x:f>IFERROR(IF(AND($J44&gt;0,$P44&gt;0,$K44=$R44),$J44/$P44,""),"")</x:f>
      </x:c>
      <x:c r="U44" s="41" t="str">
        <x:v>Acquisition / disposal</x:v>
      </x:c>
      <x:c r="V44" s="41" t="str">
        <x:v>предпринимателей</x:v>
      </x:c>
      <x:c r="W44" s="41" t="n">
        <x:v>4</x:v>
      </x:c>
      <x:c r="X44" s="41" t="str">
        <x:v>unverified</x:v>
      </x:c>
      <x:c r="Y44" s="41" t="str">
        <x:v>VKCO</x:v>
      </x:c>
      <x:c r="Z44" s="41" t="str">
        <x:v>CNews.ru</x:v>
      </x:c>
      <x:c r="AA44" s="41" t="str">
        <x:v>https://news.google.com/rss/articles/CBMigAFBVV95cUxOeU1NOHJNay1uUm9TdlpGcWh4YkNXN3J0clFCT2JrM0t5T3hwTmtTRlJXUWpyeVBYbnltZlB0dnpqLWxhTUxQNW9wQU1LeG5sTjVzT1NNQlFlY0Jpb1REMGhyWG1wSUM0STZXbFFaNndzQ1A1MlVvMFN3RmlmOW4tXw?oc=5</x:v>
      </x:c>
      <x:c r="AB44" s="41" t="str">
        <x:v>VK продал свою долю в виртуальном банке для предпринимателей - CNews.ru</x:v>
      </x:c>
      <x:c r="AC44" s="41" t="str">
        <x:v>Screening record; verify against primary transaction documents.</x:v>
      </x:c>
    </x:row>
    <x:row r="45">
      <x:c r="A45" s="41" t="str">
        <x:v>DL-4774de17c61c14e4</x:v>
      </x:c>
      <x:c r="B45" s="43" t="n">
        <x:v>46122</x:v>
      </x:c>
      <x:c r="C45" s="41" t="str">
        <x:v>DCM</x:v>
      </x:c>
      <x:c r="D45" s="41" t="str">
        <x:v>Reported</x:v>
      </x:c>
      <x:c r="E45" s="41" t="str">
        <x:v>VK</x:v>
      </x:c>
      <x:c r="F45" s="41" t="str">
        <x:v>Not applicable</x:v>
      </x:c>
      <x:c r="G45" s="41" t="str">
        <x:v>Not classified</x:v>
      </x:c>
      <x:c r="H45" s="41" t="str">
        <x:v>Not disclosed</x:v>
      </x:c>
      <x:c r="I45" s="44"/>
      <x:c r="J45" s="44"/>
      <x:c r="K45" s="41" t="str">
        <x:v>NOT DISCLOSED</x:v>
      </x:c>
      <x:c r="L45" s="45"/>
      <x:c r="M45" s="41" t="str">
        <x:v>Not applicable</x:v>
      </x:c>
      <x:c r="N45" s="41" t="str">
        <x:v>Not disclosed</x:v>
      </x:c>
      <x:c r="O45" s="44"/>
      <x:c r="P45" s="44"/>
      <x:c r="Q45" s="41" t="str">
        <x:v>Not disclosed</x:v>
      </x:c>
      <x:c r="R45" s="41" t="str">
        <x:v>Not disclosed</x:v>
      </x:c>
      <x:c r="S45" s="46" t="str">
        <x:f>IFERROR(IF(AND($J45&gt;0,$O45&gt;0,$K45=$R45),$J45/$O45,""),"")</x:f>
      </x:c>
      <x:c r="T45" s="46" t="str">
        <x:f>IFERROR(IF(AND($J45&gt;0,$P45&gt;0,$K45=$R45),$J45/$P45,""),"")</x:f>
      </x:c>
      <x:c r="U45" s="41" t="str">
        <x:v>Bonds</x:v>
      </x:c>
      <x:c r="V45" s="41" t="str">
        <x:v>Not disclosed</x:v>
      </x:c>
      <x:c r="W45" s="41" t="n">
        <x:v>4</x:v>
      </x:c>
      <x:c r="X45" s="41" t="str">
        <x:v>unverified</x:v>
      </x:c>
      <x:c r="Y45" s="41" t="str">
        <x:v>VKCO</x:v>
      </x:c>
      <x:c r="Z45" s="41" t="str">
        <x:v>Финам</x:v>
      </x:c>
      <x:c r="AA45" s="41" t="str">
        <x:v>https://www.finam.ru/publications/item/dvoynoe-razmeshchenie-obligatsiy-vk-chego-zhdat-chastnym-investoram-20260410-1829/</x:v>
      </x:c>
      <x:c r="AB45" s="41" t="str">
        <x:v>Двойное размещение облигаций VK. Чего ждать частным инвесторам? 10.04.2026 - Финам</x:v>
      </x:c>
      <x:c r="AC45" s="41" t="str">
        <x:v>Screening record; verify against primary transaction documents.</x:v>
      </x:c>
    </x:row>
    <x:row r="46">
      <x:c r="A46" s="41" t="str">
        <x:v>DL-87f81143148d7276</x:v>
      </x:c>
      <x:c r="B46" s="43" t="n">
        <x:v>46122</x:v>
      </x:c>
      <x:c r="C46" s="41" t="str">
        <x:v>ECM</x:v>
      </x:c>
      <x:c r="D46" s="41" t="str">
        <x:v>Reported</x:v>
      </x:c>
      <x:c r="E46" s="41" t="str">
        <x:v>Ozon</x:v>
      </x:c>
      <x:c r="F46" s="41" t="str">
        <x:v>Not applicable</x:v>
      </x:c>
      <x:c r="G46" s="41" t="str">
        <x:v>Financials</x:v>
      </x:c>
      <x:c r="H46" s="41" t="str">
        <x:v>Not disclosed</x:v>
      </x:c>
      <x:c r="I46" s="44"/>
      <x:c r="J46" s="44"/>
      <x:c r="K46" s="41" t="str">
        <x:v>NOT DISCLOSED</x:v>
      </x:c>
      <x:c r="L46" s="45"/>
      <x:c r="M46" s="41" t="str">
        <x:v>Not applicable</x:v>
      </x:c>
      <x:c r="N46" s="41" t="str">
        <x:v>Not disclosed</x:v>
      </x:c>
      <x:c r="O46" s="44"/>
      <x:c r="P46" s="44"/>
      <x:c r="Q46" s="41" t="str">
        <x:v>Not disclosed</x:v>
      </x:c>
      <x:c r="R46" s="41" t="str">
        <x:v>Not disclosed</x:v>
      </x:c>
      <x:c r="S46" s="46" t="str">
        <x:f>IFERROR(IF(AND($J46&gt;0,$O46&gt;0,$K46=$R46),$J46/$O46,""),"")</x:f>
      </x:c>
      <x:c r="T46" s="46" t="str">
        <x:f>IFERROR(IF(AND($J46&gt;0,$P46&gt;0,$K46=$R46),$J46/$P46,""),"")</x:f>
      </x:c>
      <x:c r="U46" s="41" t="str">
        <x:v>Equity issuance</x:v>
      </x:c>
      <x:c r="V46" s="41" t="str">
        <x:v>Not disclosed</x:v>
      </x:c>
      <x:c r="W46" s="41" t="n">
        <x:v>4</x:v>
      </x:c>
      <x:c r="X46" s="41" t="str">
        <x:v>unverified</x:v>
      </x:c>
      <x:c r="Y46" s="41" t="str">
        <x:v>OZON</x:v>
      </x:c>
      <x:c r="Z46" s="41" t="str">
        <x:v>Альфа-Банк</x:v>
      </x:c>
      <x:c r="AA46" s="41" t="str">
        <x:v>https://news.google.com/rss/articles/CBMihgFBVV95cUxNbVZjUURpZDgxcTE2VG9jRktkMVZHRmpqSG9jclBJZU45SVNzS3VLTUFyYkhnUWdpQl9pb1Jvd1p5Ni12Z1pFQWlKeDQtUDUxY0xCSVA0dno3ZjJzWnZkS3RLVWh3UjNGWVJXd29rbjFBUjdVUnZwa1RGdk9hQTIxMHBCRzFPdw?oc=5</x:v>
      </x:c>
      <x:c r="AB46" s="41" t="str">
        <x:v>Мы держим Ozon в портфеле роста, но не в дивидендном Хотя - Альфа-Банк</x:v>
      </x:c>
      <x:c r="AC46" s="41" t="str">
        <x:v>Screening record; verify against primary transaction documents.</x:v>
      </x:c>
    </x:row>
    <x:row r="47">
      <x:c r="A47" s="41" t="str">
        <x:v>DL-1363a495ec14164a</x:v>
      </x:c>
      <x:c r="B47" s="43" t="n">
        <x:v>46115</x:v>
      </x:c>
      <x:c r="C47" s="41" t="str">
        <x:v>DCM</x:v>
      </x:c>
      <x:c r="D47" s="41" t="str">
        <x:v>Reported</x:v>
      </x:c>
      <x:c r="E47" s="41" t="str">
        <x:v>Ozon</x:v>
      </x:c>
      <x:c r="F47" s="41" t="str">
        <x:v>Not applicable</x:v>
      </x:c>
      <x:c r="G47" s="41" t="str">
        <x:v>Not classified</x:v>
      </x:c>
      <x:c r="H47" s="41" t="str">
        <x:v>Russia</x:v>
      </x:c>
      <x:c r="I47" s="44" t="n">
        <x:v>15000000000</x:v>
      </x:c>
      <x:c r="J47" s="44"/>
      <x:c r="K47" s="41" t="str">
        <x:v>RUB</x:v>
      </x:c>
      <x:c r="L47" s="45"/>
      <x:c r="M47" s="41" t="str">
        <x:v>Not applicable</x:v>
      </x:c>
      <x:c r="N47" s="41" t="str">
        <x:v>Not disclosed</x:v>
      </x:c>
      <x:c r="O47" s="44"/>
      <x:c r="P47" s="44"/>
      <x:c r="Q47" s="41" t="str">
        <x:v>Not disclosed</x:v>
      </x:c>
      <x:c r="R47" s="41" t="str">
        <x:v>Not disclosed</x:v>
      </x:c>
      <x:c r="S47" s="46" t="str">
        <x:f>IFERROR(IF(AND($J47&gt;0,$O47&gt;0,$K47=$R47),$J47/$O47,""),"")</x:f>
      </x:c>
      <x:c r="T47" s="46" t="str">
        <x:f>IFERROR(IF(AND($J47&gt;0,$P47&gt;0,$K47=$R47),$J47/$P47,""),"")</x:f>
      </x:c>
      <x:c r="U47" s="41" t="str">
        <x:v>Bonds</x:v>
      </x:c>
      <x:c r="V47" s="41" t="str">
        <x:v>Not disclosed</x:v>
      </x:c>
      <x:c r="W47" s="41" t="n">
        <x:v>4</x:v>
      </x:c>
      <x:c r="X47" s="41" t="str">
        <x:v>unverified</x:v>
      </x:c>
      <x:c r="Y47" s="41" t="str">
        <x:v>OZON</x:v>
      </x:c>
      <x:c r="Z47" s="41" t="str">
        <x:v>https://expert.ru</x:v>
      </x:c>
      <x:c r="AA47" s="41" t="str">
        <x:v>https://news.google.com/rss/articles/CBMiigFBVV95cUxNVmVRdkQ4RElHdURKbmVDQU9NbVRmZTd0Z3NiM3JzMjFhZzNzQzVPMnhzNHFER2VsYVAyWEpwVlg4c24zZUozY1ZNUFQxNDMxakR1Q1J0RFhhbkRxbUZYTmgtc3N3UzhsckljT1lpZTFvaXJKeGlTblNyNlNWb2JhOWFSVXZJWjZ0Rmc?oc=5</x:v>
      </x:c>
      <x:c r="AB47" s="41" t="str">
        <x:v>Ozon анонсировал размещение облигаций на 15 млрд рублей - https://expert.ru</x:v>
      </x:c>
      <x:c r="AC47" s="41" t="str">
        <x:v>Screening record; verify against primary transaction documents.</x:v>
      </x:c>
    </x:row>
    <x:row r="48">
      <x:c r="A48" s="41" t="str">
        <x:v>DL-12855c6275c496fe</x:v>
      </x:c>
      <x:c r="B48" s="43" t="n">
        <x:v>46115</x:v>
      </x:c>
      <x:c r="C48" s="41" t="str">
        <x:v>DCM</x:v>
      </x:c>
      <x:c r="D48" s="41" t="str">
        <x:v>Announced</x:v>
      </x:c>
      <x:c r="E48" s="41" t="str">
        <x:v>Ozon</x:v>
      </x:c>
      <x:c r="F48" s="41" t="str">
        <x:v>Not applicable</x:v>
      </x:c>
      <x:c r="G48" s="41" t="str">
        <x:v>Not classified</x:v>
      </x:c>
      <x:c r="H48" s="41" t="str">
        <x:v>Not disclosed</x:v>
      </x:c>
      <x:c r="I48" s="44"/>
      <x:c r="J48" s="44"/>
      <x:c r="K48" s="41" t="str">
        <x:v>NOT DISCLOSED</x:v>
      </x:c>
      <x:c r="L48" s="45"/>
      <x:c r="M48" s="41" t="str">
        <x:v>Not applicable</x:v>
      </x:c>
      <x:c r="N48" s="41" t="str">
        <x:v>Not disclosed</x:v>
      </x:c>
      <x:c r="O48" s="44"/>
      <x:c r="P48" s="44"/>
      <x:c r="Q48" s="41" t="str">
        <x:v>Not disclosed</x:v>
      </x:c>
      <x:c r="R48" s="41" t="str">
        <x:v>Not disclosed</x:v>
      </x:c>
      <x:c r="S48" s="46" t="str">
        <x:f>IFERROR(IF(AND($J48&gt;0,$O48&gt;0,$K48=$R48),$J48/$O48,""),"")</x:f>
      </x:c>
      <x:c r="T48" s="46" t="str">
        <x:f>IFERROR(IF(AND($J48&gt;0,$P48&gt;0,$K48=$R48),$J48/$P48,""),"")</x:f>
      </x:c>
      <x:c r="U48" s="41" t="str">
        <x:v>Bonds</x:v>
      </x:c>
      <x:c r="V48" s="41" t="str">
        <x:v>Not disclosed</x:v>
      </x:c>
      <x:c r="W48" s="41" t="n">
        <x:v>4</x:v>
      </x:c>
      <x:c r="X48" s="41" t="str">
        <x:v>unverified</x:v>
      </x:c>
      <x:c r="Y48" s="41" t="str">
        <x:v>OZON</x:v>
      </x:c>
      <x:c r="Z48" s="41" t="str">
        <x:v>БКС Экспресс</x:v>
      </x:c>
      <x:c r="AA48" s="41" t="str">
        <x:v>https://news.google.com/rss/articles/CBMipgFBVV95cUxNTmtrN3N0YVN0c0NuVnBscUJvbzdVbWZ5OXczRTkySkx1T1hKdWJvZlFWNEFqbkxhRmpXVEVQZUdIcjdOZkNFRnJhX1huRGRmelhla1RRTURfejMzd2FIMU9ZcmQ4REtOWWEyZ3JhLUgwSmI2UDhJM2s4TkNRekY0T3ZtcEJNbUYzNTQzOXRITGxsN1A0N1duQ3FKeE5fTXIxMUVJTlh3?oc=5</x:v>
      </x:c>
      <x:c r="AB48" s="41" t="str">
        <x:v>Озон планирует дебютное размещение биржевых облигаций - БКС Экспресс</x:v>
      </x:c>
      <x:c r="AC48" s="41" t="str">
        <x:v>Screening record; verify against primary transaction documents.</x:v>
      </x:c>
    </x:row>
    <x:row r="49">
      <x:c r="A49" s="41" t="str">
        <x:v>DL-d39c99c4c2dfa45c</x:v>
      </x:c>
      <x:c r="B49" s="43" t="n">
        <x:v>46111</x:v>
      </x:c>
      <x:c r="C49" s="41" t="str">
        <x:v>DCM</x:v>
      </x:c>
      <x:c r="D49" s="41" t="str">
        <x:v>Reported</x:v>
      </x:c>
      <x:c r="E49" s="41" t="str">
        <x:v>VK</x:v>
      </x:c>
      <x:c r="F49" s="41" t="str">
        <x:v>Not applicable</x:v>
      </x:c>
      <x:c r="G49" s="41" t="str">
        <x:v>Not classified</x:v>
      </x:c>
      <x:c r="H49" s="41" t="str">
        <x:v>Russia</x:v>
      </x:c>
      <x:c r="I49" s="44" t="n">
        <x:v>10000000000</x:v>
      </x:c>
      <x:c r="J49" s="44"/>
      <x:c r="K49" s="41" t="str">
        <x:v>RUB</x:v>
      </x:c>
      <x:c r="L49" s="45"/>
      <x:c r="M49" s="41" t="str">
        <x:v>Not applicable</x:v>
      </x:c>
      <x:c r="N49" s="41" t="str">
        <x:v>Not disclosed</x:v>
      </x:c>
      <x:c r="O49" s="44"/>
      <x:c r="P49" s="44"/>
      <x:c r="Q49" s="41" t="str">
        <x:v>Not disclosed</x:v>
      </x:c>
      <x:c r="R49" s="41" t="str">
        <x:v>Not disclosed</x:v>
      </x:c>
      <x:c r="S49" s="46" t="str">
        <x:f>IFERROR(IF(AND($J49&gt;0,$O49&gt;0,$K49=$R49),$J49/$O49,""),"")</x:f>
      </x:c>
      <x:c r="T49" s="46" t="str">
        <x:f>IFERROR(IF(AND($J49&gt;0,$P49&gt;0,$K49=$R49),$J49/$P49,""),"")</x:f>
      </x:c>
      <x:c r="U49" s="41" t="str">
        <x:v>Bonds</x:v>
      </x:c>
      <x:c r="V49" s="41" t="str">
        <x:v>Not disclosed</x:v>
      </x:c>
      <x:c r="W49" s="41" t="n">
        <x:v>4</x:v>
      </x:c>
      <x:c r="X49" s="41" t="str">
        <x:v>unverified</x:v>
      </x:c>
      <x:c r="Y49" s="41" t="str">
        <x:v>VKCO</x:v>
      </x:c>
      <x:c r="Z49" s="41" t="str">
        <x:v>vk.company</x:v>
      </x:c>
      <x:c r="AA49" s="41" t="str">
        <x:v>https://news.google.com/rss/articles/CBMiUkFVX3lxTE1WcXUxeUFkWFdQQUk3U0o0RDBfeTdxa3IxV0dWLXRZZXRjWWo1M0NBOUJfeVUwNHRuMUxaOVBKVXdjSWstd1paRHFfX2lpT1VpV0E?oc=5</x:v>
      </x:c>
      <x:c r="AB49" s="41" t="str">
        <x:v>VK объявляет о планах по размещению биржевых облигаций объемом 10 млрд рублей - vk.company</x:v>
      </x:c>
      <x:c r="AC49" s="41" t="str">
        <x:v>Screening record; verify against primary transaction documents.</x:v>
      </x:c>
    </x:row>
    <x:row r="50">
      <x:c r="A50" s="41" t="str">
        <x:v>DL-b9babb23f2c4462c</x:v>
      </x:c>
      <x:c r="B50" s="43" t="n">
        <x:v>46111</x:v>
      </x:c>
      <x:c r="C50" s="41" t="str">
        <x:v>DCM</x:v>
      </x:c>
      <x:c r="D50" s="41" t="str">
        <x:v>Reported</x:v>
      </x:c>
      <x:c r="E50" s="41" t="str">
        <x:v>VK</x:v>
      </x:c>
      <x:c r="F50" s="41" t="str">
        <x:v>Not applicable</x:v>
      </x:c>
      <x:c r="G50" s="41" t="str">
        <x:v>Not classified</x:v>
      </x:c>
      <x:c r="H50" s="41" t="str">
        <x:v>Not disclosed</x:v>
      </x:c>
      <x:c r="I50" s="44"/>
      <x:c r="J50" s="44"/>
      <x:c r="K50" s="41" t="str">
        <x:v>NOT DISCLOSED</x:v>
      </x:c>
      <x:c r="L50" s="45"/>
      <x:c r="M50" s="41" t="str">
        <x:v>Not applicable</x:v>
      </x:c>
      <x:c r="N50" s="41" t="str">
        <x:v>Not disclosed</x:v>
      </x:c>
      <x:c r="O50" s="44"/>
      <x:c r="P50" s="44"/>
      <x:c r="Q50" s="41" t="str">
        <x:v>Not disclosed</x:v>
      </x:c>
      <x:c r="R50" s="41" t="str">
        <x:v>Not disclosed</x:v>
      </x:c>
      <x:c r="S50" s="46" t="str">
        <x:f>IFERROR(IF(AND($J50&gt;0,$O50&gt;0,$K50=$R50),$J50/$O50,""),"")</x:f>
      </x:c>
      <x:c r="T50" s="46" t="str">
        <x:f>IFERROR(IF(AND($J50&gt;0,$P50&gt;0,$K50=$R50),$J50/$P50,""),"")</x:f>
      </x:c>
      <x:c r="U50" s="41" t="str">
        <x:v>Bonds</x:v>
      </x:c>
      <x:c r="V50" s="41" t="str">
        <x:v>Not disclosed</x:v>
      </x:c>
      <x:c r="W50" s="41" t="n">
        <x:v>4</x:v>
      </x:c>
      <x:c r="X50" s="41" t="str">
        <x:v>unverified</x:v>
      </x:c>
      <x:c r="Y50" s="41" t="str">
        <x:v>VKCO</x:v>
      </x:c>
      <x:c r="Z50" s="41" t="str">
        <x:v>Финам</x:v>
      </x:c>
      <x:c r="AA50" s="41" t="str">
        <x:v>https://www.finam.ru/publications/item/vk-razmeshchaet-obligatsii-kak-eto-otrazitsya-na-investorakh-v-aktsii-20260330-1740/</x:v>
      </x:c>
      <x:c r="AB50" s="41" t="str">
        <x:v>VK размещает облигации: как это отразится на инвесторах в акции 30.03.2026 - Финам</x:v>
      </x:c>
      <x:c r="AC50" s="41" t="str">
        <x:v>Screening record; verify against primary transaction documents.</x:v>
      </x:c>
    </x:row>
    <x:row r="51">
      <x:c r="A51" s="41" t="str">
        <x:v>DL-238a83afad61e805</x:v>
      </x:c>
      <x:c r="B51" s="43" t="n">
        <x:v>46080</x:v>
      </x:c>
      <x:c r="C51" s="41" t="str">
        <x:v>DCM</x:v>
      </x:c>
      <x:c r="D51" s="41" t="str">
        <x:v>Issued</x:v>
      </x:c>
      <x:c r="E51" s="41" t="str">
        <x:v>SELECTEL</x:v>
      </x:c>
      <x:c r="F51" s="41" t="str">
        <x:v>Not applicable</x:v>
      </x:c>
      <x:c r="G51" s="41" t="str">
        <x:v>Not classified</x:v>
      </x:c>
      <x:c r="H51" s="41" t="str">
        <x:v>Russia</x:v>
      </x:c>
      <x:c r="I51" s="44" t="n">
        <x:v>7000000000</x:v>
      </x:c>
      <x:c r="J51" s="44"/>
      <x:c r="K51" s="41" t="str">
        <x:v>RUB</x:v>
      </x:c>
      <x:c r="L51" s="45" t="n">
        <x:v>0.15</x:v>
      </x:c>
      <x:c r="M51" s="41" t="str">
        <x:v>Not applicable</x:v>
      </x:c>
      <x:c r="N51" s="41" t="str">
        <x:v>Not disclosed</x:v>
      </x:c>
      <x:c r="O51" s="44"/>
      <x:c r="P51" s="44"/>
      <x:c r="Q51" s="41" t="str">
        <x:v>Not disclosed</x:v>
      </x:c>
      <x:c r="R51" s="41" t="str">
        <x:v>Not disclosed</x:v>
      </x:c>
      <x:c r="S51" s="46" t="str">
        <x:f>IFERROR(IF(AND($J51&gt;0,$O51&gt;0,$K51=$R51),$J51/$O51,""),"")</x:f>
      </x:c>
      <x:c r="T51" s="46" t="str">
        <x:f>IFERROR(IF(AND($J51&gt;0,$P51&gt;0,$K51=$R51),$J51/$P51,""),"")</x:f>
      </x:c>
      <x:c r="U51" s="41" t="str">
        <x:v>Bonds</x:v>
      </x:c>
      <x:c r="V51" s="41" t="str">
        <x:v>Not disclosed</x:v>
      </x:c>
      <x:c r="W51" s="41" t="n">
        <x:v>5</x:v>
      </x:c>
      <x:c r="X51" s="41" t="str">
        <x:v>confirmed</x:v>
      </x:c>
      <x:c r="Y51" s="41" t="str"/>
      <x:c r="Z51" s="41" t="str">
        <x:v>Selectel Newsroom</x:v>
      </x:c>
      <x:c r="AA51" s="41" t="str">
        <x:v>https://selectel.ru/about/newsroom/news/selectel-razmestil-novyj-vypusk-obligaczij-i-privlek-7-milliardov-rublej-na-razvitie-biznesa/</x:v>
      </x:c>
      <x:c r="AB51" s="41" t="str">
        <x:v>Selectel разместил новый выпуск облигаций и привлек 7 миллиардов рублей на развитие бизнеса Selectel сообщил об успешном закрытии книги заявок в рамках размещения выпуска облигаций серии 001P-07R по ставке купона 15,00% годовых сроком на три года. В ходе формирования книги заявок общий спрос инвесторов превысил первоначальный ориентир по объему выпуска, что позволило увеличить объем выпуска с 5 до 7 млрд рублей и снизить итоговую ставку купона до 15,00% годовых.</x:v>
      </x:c>
      <x:c r="AC51" s="41" t="str">
        <x:v>Screening record; verify against primary transaction documents.</x:v>
      </x:c>
    </x:row>
    <x:row r="52">
      <x:c r="A52" s="41" t="str">
        <x:v>DL-251bf0d0b7b600c1</x:v>
      </x:c>
      <x:c r="B52" s="43" t="n">
        <x:v>45642</x:v>
      </x:c>
      <x:c r="C52" s="41" t="str">
        <x:v>M&amp;A</x:v>
      </x:c>
      <x:c r="D52" s="41" t="str">
        <x:v>Reported</x:v>
      </x:c>
      <x:c r="E52" s="41" t="str">
        <x:v>Not disclosed</x:v>
      </x:c>
      <x:c r="F52" s="41" t="str">
        <x:v>SELECTEL</x:v>
      </x:c>
      <x:c r="G52" s="41" t="str">
        <x:v>Technology</x:v>
      </x:c>
      <x:c r="H52" s="41" t="str">
        <x:v>Not disclosed</x:v>
      </x:c>
      <x:c r="I52" s="44"/>
      <x:c r="J52" s="44"/>
      <x:c r="K52" s="41" t="str">
        <x:v>NOT DISCLOSED</x:v>
      </x:c>
      <x:c r="L52" s="45" t="n">
        <x:v>1</x:v>
      </x:c>
      <x:c r="M52" s="41" t="str">
        <x:v>Not disclosed</x:v>
      </x:c>
      <x:c r="N52" s="41" t="str">
        <x:v>Not disclosed</x:v>
      </x:c>
      <x:c r="O52" s="44"/>
      <x:c r="P52" s="44"/>
      <x:c r="Q52" s="41" t="str">
        <x:v>Not disclosed</x:v>
      </x:c>
      <x:c r="R52" s="41" t="str">
        <x:v>Not disclosed</x:v>
      </x:c>
      <x:c r="S52" s="46" t="str">
        <x:f>IFERROR(IF(AND($J52&gt;0,$O52&gt;0,$K52=$R52),$J52/$O52,""),"")</x:f>
      </x:c>
      <x:c r="T52" s="46" t="str">
        <x:f>IFERROR(IF(AND($J52&gt;0,$P52&gt;0,$K52=$R52),$J52/$P52,""),"")</x:f>
      </x:c>
      <x:c r="U52" s="41" t="str">
        <x:v>Acquisition / disposal</x:v>
      </x:c>
      <x:c r="V52" s="41" t="str">
        <x:v>Not disclosed</x:v>
      </x:c>
      <x:c r="W52" s="41" t="n">
        <x:v>7</x:v>
      </x:c>
      <x:c r="X52" s="41" t="str">
        <x:v>confirmed</x:v>
      </x:c>
      <x:c r="Y52" s="41" t="str"/>
      <x:c r="Z52" s="41" t="str">
        <x:v>Selectel Newsroom</x:v>
      </x:c>
      <x:c r="AA52" s="41" t="str">
        <x:v>https://selectel.ru/about/newsroom/news/selectel-soobshchaet-o-priobretenii-oblachnogo-provajdera-servers-ru/</x:v>
      </x:c>
      <x:c r="AB52" s="41" t="str">
        <x:v>Selectel сообщает о приобретении облачного провайдера Servers.ru Selectel сообщает о приобретении 100% компании ООО «Единая сеть», работающей под брендами Servers.ru, Exepto.ru и Fozzy.ru. Сделка позволит ускорить рост бизнеса и усилить лидерские позиции Selectel на рынке облачных инфраструктурных сервисов.</x:v>
      </x:c>
      <x:c r="AC52" s="41" t="str">
        <x:v>Screening record; verify against primary transaction documents.</x:v>
      </x:c>
    </x:row>
    <x:row r="53">
      <x:c r="A53" s="41" t="str">
        <x:v>DL-aa5a93661389a659</x:v>
      </x:c>
      <x:c r="B53" s="43" t="n">
        <x:v>45611</x:v>
      </x:c>
      <x:c r="C53" s="41" t="str">
        <x:v>DCM</x:v>
      </x:c>
      <x:c r="D53" s="41" t="str">
        <x:v>Announced</x:v>
      </x:c>
      <x:c r="E53" s="41" t="str">
        <x:v>SELECTEL</x:v>
      </x:c>
      <x:c r="F53" s="41" t="str">
        <x:v>Not applicable</x:v>
      </x:c>
      <x:c r="G53" s="41" t="str">
        <x:v>Financials</x:v>
      </x:c>
      <x:c r="H53" s="41" t="str">
        <x:v>Russia</x:v>
      </x:c>
      <x:c r="I53" s="44" t="n">
        <x:v>3000000000</x:v>
      </x:c>
      <x:c r="J53" s="44"/>
      <x:c r="K53" s="41" t="str">
        <x:v>RUB</x:v>
      </x:c>
      <x:c r="L53" s="45"/>
      <x:c r="M53" s="41" t="str">
        <x:v>Not applicable</x:v>
      </x:c>
      <x:c r="N53" s="41" t="str">
        <x:v>Not disclosed</x:v>
      </x:c>
      <x:c r="O53" s="44"/>
      <x:c r="P53" s="44"/>
      <x:c r="Q53" s="41" t="str">
        <x:v>Not disclosed</x:v>
      </x:c>
      <x:c r="R53" s="41" t="str">
        <x:v>Not disclosed</x:v>
      </x:c>
      <x:c r="S53" s="46" t="str">
        <x:f>IFERROR(IF(AND($J53&gt;0,$O53&gt;0,$K53=$R53),$J53/$O53,""),"")</x:f>
      </x:c>
      <x:c r="T53" s="46" t="str">
        <x:f>IFERROR(IF(AND($J53&gt;0,$P53&gt;0,$K53=$R53),$J53/$P53,""),"")</x:f>
      </x:c>
      <x:c r="U53" s="41" t="str">
        <x:v>Bonds</x:v>
      </x:c>
      <x:c r="V53" s="41" t="str">
        <x:v>целей финансирования инвестиционной программы</x:v>
      </x:c>
      <x:c r="W53" s="41" t="n">
        <x:v>5</x:v>
      </x:c>
      <x:c r="X53" s="41" t="str">
        <x:v>confirmed</x:v>
      </x:c>
      <x:c r="Y53" s="41" t="str"/>
      <x:c r="Z53" s="41" t="str">
        <x:v>Selectel Newsroom</x:v>
      </x:c>
      <x:c r="AA53" s="41" t="str">
        <x:v>https://selectel.ru/about/newsroom/news/selectel-planiruet-razmeshhenie-obligaczij-obemom-3-milliarda-rublej-2/</x:v>
      </x:c>
      <x:c r="AB53" s="41" t="str">
        <x:v>Selectel планирует размещение облигаций объемом 3 миллиарда рублей Компания Selectel планирует разместить новый выпуск облигаций объемом 3 млрд рублей для целей финансирования инвестиционной программы. Тип купона — переменный и определяется исходя из ключевой ставки Банка России плюс премия не выше 400 базисных пунктов. Срок обращения — 2,5 года с ежемесячной выплатой купона. Сбор заявок планируется провести в конце ноября.</x:v>
      </x:c>
      <x:c r="AC53" s="41" t="str">
        <x:v>Screening record; verify against primary transaction documents.</x:v>
      </x:c>
    </x:row>
    <x:row r="54">
      <x:c r="A54" s="41" t="str">
        <x:v>DL-c898acc93d60813b</x:v>
      </x:c>
      <x:c r="B54" s="43" t="n">
        <x:v>45391</x:v>
      </x:c>
      <x:c r="C54" s="41" t="str">
        <x:v>DCM</x:v>
      </x:c>
      <x:c r="D54" s="41" t="str">
        <x:v>Reported</x:v>
      </x:c>
      <x:c r="E54" s="41" t="str">
        <x:v>SELECTEL</x:v>
      </x:c>
      <x:c r="F54" s="41" t="str">
        <x:v>Not applicable</x:v>
      </x:c>
      <x:c r="G54" s="41" t="str">
        <x:v>Not classified</x:v>
      </x:c>
      <x:c r="H54" s="41" t="str">
        <x:v>Russia</x:v>
      </x:c>
      <x:c r="I54" s="44" t="n">
        <x:v>4000000000</x:v>
      </x:c>
      <x:c r="J54" s="44"/>
      <x:c r="K54" s="41" t="str">
        <x:v>RUB</x:v>
      </x:c>
      <x:c r="L54" s="45" t="n">
        <x:v>0.15</x:v>
      </x:c>
      <x:c r="M54" s="41" t="str">
        <x:v>Not applicable</x:v>
      </x:c>
      <x:c r="N54" s="41" t="str">
        <x:v>Not disclosed</x:v>
      </x:c>
      <x:c r="O54" s="44"/>
      <x:c r="P54" s="44"/>
      <x:c r="Q54" s="41" t="str">
        <x:v>Not disclosed</x:v>
      </x:c>
      <x:c r="R54" s="41" t="str">
        <x:v>Not disclosed</x:v>
      </x:c>
      <x:c r="S54" s="46" t="str">
        <x:f>IFERROR(IF(AND($J54&gt;0,$O54&gt;0,$K54=$R54),$J54/$O54,""),"")</x:f>
      </x:c>
      <x:c r="T54" s="46" t="str">
        <x:f>IFERROR(IF(AND($J54&gt;0,$P54&gt;0,$K54=$R54),$J54/$P54,""),"")</x:f>
      </x:c>
      <x:c r="U54" s="41" t="str">
        <x:v>Bonds</x:v>
      </x:c>
      <x:c r="V54" s="41" t="str">
        <x:v>Not disclosed</x:v>
      </x:c>
      <x:c r="W54" s="41" t="n">
        <x:v>5</x:v>
      </x:c>
      <x:c r="X54" s="41" t="str">
        <x:v>confirmed</x:v>
      </x:c>
      <x:c r="Y54" s="41" t="str"/>
      <x:c r="Z54" s="41" t="str">
        <x:v>Selectel Newsroom</x:v>
      </x:c>
      <x:c r="AA54" s="41" t="str">
        <x:v>https://selectel.ru/about/newsroom/news/selectel-na-fone-povyshennogo-sprosa-na-obligaczii-chetvertogo-vypuska-uvelichil-obem-razmeshheniya-do-4-mlrd-rublej/</x:v>
      </x:c>
      <x:c r="AB54" s="41" t="str">
        <x:v>Selectel на фоне повышенного спроса на облигации четвертого выпуска увеличил объем размещения до 4 млрд рублей Компания Selectel сообщила об успешном закрытии книги заявок в рамках размещения четвертого выпуска облигаций. Объем выпуска составил 4 млрд рублей, ставка купона установлена на уровне 15% годовых с ежемесячной выплатой, срок обращения 2 года.</x:v>
      </x:c>
      <x:c r="AC54" s="41" t="str">
        <x:v>Screening record; verify against primary transaction documents.</x:v>
      </x:c>
    </x:row>
    <x:row r="55">
      <x:c r="A55" s="41" t="str">
        <x:v>DL-3b4a4419ab6b81bf</x:v>
      </x:c>
      <x:c r="B55" s="43" t="n">
        <x:v>45357</x:v>
      </x:c>
      <x:c r="C55" s="41" t="str">
        <x:v>DCM</x:v>
      </x:c>
      <x:c r="D55" s="41" t="str">
        <x:v>Announced</x:v>
      </x:c>
      <x:c r="E55" s="41" t="str">
        <x:v>SELECTEL</x:v>
      </x:c>
      <x:c r="F55" s="41" t="str">
        <x:v>Not applicable</x:v>
      </x:c>
      <x:c r="G55" s="41" t="str">
        <x:v>Not classified</x:v>
      </x:c>
      <x:c r="H55" s="41" t="str">
        <x:v>Russia</x:v>
      </x:c>
      <x:c r="I55" s="44" t="n">
        <x:v>3000000000</x:v>
      </x:c>
      <x:c r="J55" s="44"/>
      <x:c r="K55" s="41" t="str">
        <x:v>RUB</x:v>
      </x:c>
      <x:c r="L55" s="45"/>
      <x:c r="M55" s="41" t="str">
        <x:v>Not applicable</x:v>
      </x:c>
      <x:c r="N55" s="41" t="str">
        <x:v>Not disclosed</x:v>
      </x:c>
      <x:c r="O55" s="44"/>
      <x:c r="P55" s="44"/>
      <x:c r="Q55" s="41" t="str">
        <x:v>Not disclosed</x:v>
      </x:c>
      <x:c r="R55" s="41" t="str">
        <x:v>Not disclosed</x:v>
      </x:c>
      <x:c r="S55" s="46" t="str">
        <x:f>IFERROR(IF(AND($J55&gt;0,$O55&gt;0,$K55=$R55),$J55/$O55,""),"")</x:f>
      </x:c>
      <x:c r="T55" s="46" t="str">
        <x:f>IFERROR(IF(AND($J55&gt;0,$P55&gt;0,$K55=$R55),$J55/$P55,""),"")</x:f>
      </x:c>
      <x:c r="U55" s="41" t="str">
        <x:v>Bonds</x:v>
      </x:c>
      <x:c r="V55" s="41" t="str">
        <x:v>Not disclosed</x:v>
      </x:c>
      <x:c r="W55" s="41" t="n">
        <x:v>5</x:v>
      </x:c>
      <x:c r="X55" s="41" t="str">
        <x:v>confirmed</x:v>
      </x:c>
      <x:c r="Y55" s="41" t="str"/>
      <x:c r="Z55" s="41" t="str">
        <x:v>Selectel Newsroom</x:v>
      </x:c>
      <x:c r="AA55" s="41" t="str">
        <x:v>https://selectel.ru/about/newsroom/news/selectel-planiruet-razmeshhenie-obligaczij-obemom-3-milliarda-rublej/</x:v>
      </x:c>
      <x:c r="AB55" s="41" t="str">
        <x:v>Selectel планирует размещение облигаций объемом 3 миллиарда рублей Selectel планирует разместить выпуск облигаций объемом 3 млрд рублей с фиксированной ставкой купона и сроком обращения 2 года. Ориентир доходности — премия не выше 275 базисных пунктов к значению кривой бескупонной доходности (КБД) Московской биржи на сроке 2 года. Купонные выплаты будут осуществляться ежемесячно. Сбор заявок планируется провести в первой декаде апреля.</x:v>
      </x:c>
      <x:c r="AC55" s="41" t="str">
        <x:v>Screening record; verify against primary transaction documents.</x:v>
      </x:c>
    </x:row>
    <x:row r="56">
      <x:c r="A56" s="41" t="str">
        <x:v>DL-0242cf80b3f97c9c</x:v>
      </x:c>
      <x:c r="B56" s="43" t="n">
        <x:v>45288</x:v>
      </x:c>
      <x:c r="C56" s="41" t="str">
        <x:v>M&amp;A</x:v>
      </x:c>
      <x:c r="D56" s="41" t="str">
        <x:v>Reported</x:v>
      </x:c>
      <x:c r="E56" s="41" t="str">
        <x:v>25% провайдера IT-инфраструктуры Selectel Инвестиционный фонд Tier 5, основанный Геворком Вермишяном</x:v>
      </x:c>
      <x:c r="F56" s="41" t="str">
        <x:v>Инвестиционный фонд Tier 5</x:v>
      </x:c>
      <x:c r="G56" s="41" t="str">
        <x:v>Not classified</x:v>
      </x:c>
      <x:c r="H56" s="41" t="str">
        <x:v>Russia</x:v>
      </x:c>
      <x:c r="I56" s="44"/>
      <x:c r="J56" s="44"/>
      <x:c r="K56" s="41" t="str">
        <x:v>NOT DISCLOSED</x:v>
      </x:c>
      <x:c r="L56" s="45" t="n">
        <x:v>0.25</x:v>
      </x:c>
      <x:c r="M56" s="41" t="str">
        <x:v>Not disclosed</x:v>
      </x:c>
      <x:c r="N56" s="41" t="str">
        <x:v>Not disclosed</x:v>
      </x:c>
      <x:c r="O56" s="44"/>
      <x:c r="P56" s="44"/>
      <x:c r="Q56" s="41" t="str">
        <x:v>Not disclosed</x:v>
      </x:c>
      <x:c r="R56" s="41" t="str">
        <x:v>Not disclosed</x:v>
      </x:c>
      <x:c r="S56" s="46" t="str">
        <x:f>IFERROR(IF(AND($J56&gt;0,$O56&gt;0,$K56=$R56),$J56/$O56,""),"")</x:f>
      </x:c>
      <x:c r="T56" s="46" t="str">
        <x:f>IFERROR(IF(AND($J56&gt;0,$P56&gt;0,$K56=$R56),$J56/$P56,""),"")</x:f>
      </x:c>
      <x:c r="U56" s="41" t="str">
        <x:v>Acquisition / disposal</x:v>
      </x:c>
      <x:c r="V56" s="41" t="str">
        <x:v>Not disclosed</x:v>
      </x:c>
      <x:c r="W56" s="41" t="n">
        <x:v>5</x:v>
      </x:c>
      <x:c r="X56" s="41" t="str">
        <x:v>confirmed</x:v>
      </x:c>
      <x:c r="Y56" s="41" t="str"/>
      <x:c r="Z56" s="41" t="str">
        <x:v>Selectel Newsroom</x:v>
      </x:c>
      <x:c r="AA56" s="41" t="str">
        <x:v>https://selectel.ru/about/newsroom/news/investicionnyj-fond-tier-5-priobrel-25-provajdera-it-infrastruktury-selectel/</x:v>
      </x:c>
      <x:c r="AB56" s="41" t="str">
        <x:v>Инвестиционный фонд Tier 5 приобрел 25% провайдера IT-инфраструктуры Selectel Инвестиционный фонд Tier 5, основанный Геворком Вермишяном, ранее возглавлявшим «МегаФон», приобрел 25% провайдера IT-инфраструктуры Selectel, который входит в топ-3 российских IaaS-компаний по выручке. Детали сделки стороны не раскрывают.</x:v>
      </x:c>
      <x:c r="AC56" s="41" t="str">
        <x:v>Screening record; verify against primary transaction documents.</x:v>
      </x:c>
    </x:row>
  </x:sheetData>
  <x:mergeCells>
    <x:mergeCell ref="A1:AC1"/>
    <x:mergeCell ref="A2:AC2"/>
    <x:mergeCell ref="A4:AC4"/>
  </x:mergeCells>
  <x:conditionalFormatting sqref="W7:W56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4f7c49853e947b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78" hidden="0" customWidth="1"/>
  </x:cols>
  <x:sheetData>
    <x:row r="1" ht="32" customHeight="1">
      <x:c r="A1" s="3" t="str">
        <x:v>DEAL CARD</x:v>
      </x:c>
      <x:c r="B1" s="3"/>
      <x:c r="C1" s="3"/>
      <x:c r="D1" s="3"/>
      <x:c r="E1" s="3"/>
      <x:c r="F1" s="3"/>
      <x:c r="G1" s="3"/>
      <x:c r="H1" s="3"/>
    </x:row>
    <x:row r="2" ht="25" customHeight="1">
      <x:c r="A2" s="6" t="str">
        <x:v>Latest transaction; N/M and Not disclosed are deliberate, not missing-data errors</x:v>
      </x:c>
      <x:c r="B2" s="6"/>
      <x:c r="C2" s="6"/>
      <x:c r="D2" s="6"/>
      <x:c r="E2" s="6"/>
      <x:c r="F2" s="6"/>
      <x:c r="G2" s="6"/>
      <x:c r="H2" s="6"/>
    </x:row>
    <x:row r="4" ht="22" customHeight="1">
      <x:c r="A4" s="9" t="str">
        <x:v>DCM | Completed</x:v>
      </x:c>
      <x:c r="B4" s="9"/>
      <x:c r="C4" s="9"/>
      <x:c r="D4" s="9"/>
      <x:c r="E4" s="9"/>
      <x:c r="F4" s="9"/>
      <x:c r="G4" s="9"/>
      <x:c r="H4" s="9"/>
    </x:row>
    <x:row r="6">
      <x:c r="A6" s="48" t="str">
        <x:v>Headline</x:v>
      </x:c>
      <x:c r="B6" s="55" t="str">
        <x:v>МТС успешно закрыла книгу биржевых облигаций 003Р-03 на 20 млрд руб.</x:v>
      </x:c>
    </x:row>
    <x:row r="7">
      <x:c r="A7" s="49" t="str">
        <x:v>Announced date</x:v>
      </x:c>
      <x:c r="B7" s="58" t="n">
        <x:v>46201</x:v>
      </x:c>
    </x:row>
    <x:row r="8">
      <x:c r="A8" s="49" t="str">
        <x:v>Target / Issuer</x:v>
      </x:c>
      <x:c r="B8" s="56" t="str">
        <x:v>MTSS</x:v>
      </x:c>
    </x:row>
    <x:row r="9">
      <x:c r="A9" s="49" t="str">
        <x:v>Acquirer / Investor</x:v>
      </x:c>
      <x:c r="B9" s="56" t="str">
        <x:v>Not applicable</x:v>
      </x:c>
    </x:row>
    <x:row r="10">
      <x:c r="A10" s="49" t="str">
        <x:v>Transaction value</x:v>
      </x:c>
      <x:c r="B10" s="59" t="n">
        <x:v>20000000000</x:v>
      </x:c>
    </x:row>
    <x:row r="11">
      <x:c r="A11" s="49" t="str">
        <x:v>Enterprise value</x:v>
      </x:c>
      <x:c r="B11" s="59"/>
    </x:row>
    <x:row r="12">
      <x:c r="A12" s="49" t="str">
        <x:v>Currency</x:v>
      </x:c>
      <x:c r="B12" s="56" t="str">
        <x:v>RUB</x:v>
      </x:c>
    </x:row>
    <x:row r="13">
      <x:c r="A13" s="49" t="str">
        <x:v>Stake</x:v>
      </x:c>
      <x:c r="B13" s="60"/>
    </x:row>
    <x:row r="14">
      <x:c r="A14" s="49" t="str">
        <x:v>Payment form</x:v>
      </x:c>
      <x:c r="B14" s="56" t="str">
        <x:v>Not applicable</x:v>
      </x:c>
    </x:row>
    <x:row r="15">
      <x:c r="A15" s="49" t="str">
        <x:v>Advisors</x:v>
      </x:c>
      <x:c r="B15" s="56" t="str">
        <x:v>Not disclosed</x:v>
      </x:c>
    </x:row>
    <x:row r="16">
      <x:c r="A16" s="49" t="str">
        <x:v>Revenue LTM</x:v>
      </x:c>
      <x:c r="B16" s="59"/>
    </x:row>
    <x:row r="17">
      <x:c r="A17" s="49" t="str">
        <x:v>EBITDA LTM</x:v>
      </x:c>
      <x:c r="B17" s="59"/>
    </x:row>
    <x:row r="18">
      <x:c r="A18" s="49" t="str">
        <x:v>EV / Revenue</x:v>
      </x:c>
      <x:c r="B18" s="61" t="str">
        <x:v>N/M</x:v>
      </x:c>
    </x:row>
    <x:row r="19">
      <x:c r="A19" s="49" t="str">
        <x:v>EV / EBITDA</x:v>
      </x:c>
      <x:c r="B19" s="61" t="str">
        <x:v>N/M</x:v>
      </x:c>
    </x:row>
    <x:row r="20">
      <x:c r="A20" s="49" t="str">
        <x:v>Instrument</x:v>
      </x:c>
      <x:c r="B20" s="56" t="str">
        <x:v>Bonds</x:v>
      </x:c>
    </x:row>
    <x:row r="21">
      <x:c r="A21" s="49" t="str">
        <x:v>Rationale</x:v>
      </x:c>
      <x:c r="B21" s="56" t="str">
        <x:v>Not disclosed</x:v>
      </x:c>
    </x:row>
    <x:row r="22">
      <x:c r="A22" s="49" t="str">
        <x:v>Evidence / score</x:v>
      </x:c>
      <x:c r="B22" s="56" t="str">
        <x:v>confirmed / 6 out of 10</x:v>
      </x:c>
    </x:row>
    <x:row r="23">
      <x:c r="A23" s="49" t="str">
        <x:v>Source</x:v>
      </x:c>
      <x:c r="B23" s="56" t="str">
        <x:v>MTS Investor Relations</x:v>
      </x:c>
    </x:row>
    <x:row r="24">
      <x:c r="A24" s="50" t="str">
        <x:v>Source URL</x:v>
      </x:c>
      <x:c r="B24" s="57" t="str">
        <x:v>See Precedent Transactions → Source URL</x:v>
      </x:c>
    </x:row>
  </x:sheetData>
  <x:mergeCells>
    <x:mergeCell ref="A1:H1"/>
    <x:mergeCell ref="A2:H2"/>
    <x:mergeCell ref="A4:H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46" hidden="0" customWidth="1"/>
    <x:col min="5" max="5" width="20" hidden="0" customWidth="1"/>
    <x:col min="6" max="6" width="52" hidden="0" customWidth="1"/>
  </x:cols>
  <x:sheetData>
    <x:row r="1" ht="32" customHeight="1">
      <x:c r="A1" s="3" t="str">
        <x:v>SOURCES &amp; QA</x:v>
      </x:c>
      <x:c r="B1" s="3"/>
      <x:c r="C1" s="3"/>
      <x:c r="D1" s="3"/>
      <x:c r="E1" s="3"/>
      <x:c r="F1" s="3"/>
      <x:c r="G1" s="3"/>
      <x:c r="H1" s="3"/>
    </x:row>
    <x:row r="2" ht="25" customHeight="1">
      <x:c r="A2" s="6" t="str">
        <x:v>Completeness, uniqueness, URL safety and valuation-input checks</x:v>
      </x:c>
      <x:c r="B2" s="6"/>
      <x:c r="C2" s="6"/>
      <x:c r="D2" s="6"/>
      <x:c r="E2" s="6"/>
      <x:c r="F2" s="6"/>
      <x:c r="G2" s="6"/>
      <x:c r="H2" s="6"/>
    </x:row>
    <x:row r="4" ht="22" customHeight="1">
      <x:c r="A4" s="9" t="str">
        <x:v>SOURCE REGISTER</x:v>
      </x:c>
      <x:c r="B4" s="9"/>
      <x:c r="C4" s="9"/>
      <x:c r="D4" s="9"/>
      <x:c r="E4" s="9"/>
      <x:c r="F4" s="9"/>
      <x:c r="G4" s="9"/>
      <x:c r="H4" s="9"/>
    </x:row>
    <x:row r="6" ht="32" customHeight="1">
      <x:c r="A6" s="17" t="str">
        <x:v>Deal ID</x:v>
      </x:c>
      <x:c r="B6" s="18" t="str">
        <x:v>Date</x:v>
      </x:c>
      <x:c r="C6" s="18" t="str">
        <x:v>Source</x:v>
      </x:c>
      <x:c r="D6" s="18" t="str">
        <x:v>URL</x:v>
      </x:c>
      <x:c r="E6" s="18" t="str">
        <x:v>Evidence</x:v>
      </x:c>
      <x:c r="F6" s="19" t="str">
        <x:v>Headline</x:v>
      </x:c>
    </x:row>
    <x:row r="7">
      <x:c r="A7" s="41" t="str">
        <x:v>DL-4d8f7bcb385b1c88</x:v>
      </x:c>
      <x:c r="B7" s="43" t="n">
        <x:v>46201</x:v>
      </x:c>
      <x:c r="C7" s="41" t="str">
        <x:v>MTS Investor Relations</x:v>
      </x:c>
      <x:c r="D7" s="41" t="str">
        <x:v>See Precedent Transactions → Source URL</x:v>
      </x:c>
      <x:c r="E7" s="41" t="str">
        <x:v>confirmed</x:v>
      </x:c>
      <x:c r="F7" s="41" t="str">
        <x:v>МТС успешно закрыла книгу биржевых облигаций 003Р-03 на 20 млрд руб.</x:v>
      </x:c>
    </x:row>
    <x:row r="8">
      <x:c r="A8" s="41" t="str">
        <x:v>DL-moex-101492</x:v>
      </x:c>
      <x:c r="B8" s="43" t="n">
        <x:v>46199</x:v>
      </x:c>
      <x:c r="C8" s="41" t="str">
        <x:v>MOEX disclosure</x:v>
      </x:c>
      <x:c r="D8" s="41" t="str">
        <x:v>See Precedent Transactions → Source URL</x:v>
      </x:c>
      <x:c r="E8" s="41" t="str">
        <x:v>confirmed</x:v>
      </x:c>
      <x:c r="F8" s="41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9">
      <x:c r="A9" s="41" t="str">
        <x:v>DL-moex-101473</x:v>
      </x:c>
      <x:c r="B9" s="43" t="n">
        <x:v>46199</x:v>
      </x:c>
      <x:c r="C9" s="41" t="str">
        <x:v>MOEX disclosure</x:v>
      </x:c>
      <x:c r="D9" s="41" t="str">
        <x:v>See Precedent Transactions → Source URL</x:v>
      </x:c>
      <x:c r="E9" s="41" t="str">
        <x:v>confirmed</x:v>
      </x:c>
      <x:c r="F9" s="41" t="str">
        <x:v>О регистрации проспекта биржевых облигаций</x:v>
      </x:c>
    </x:row>
    <x:row r="10">
      <x:c r="A10" s="41" t="str">
        <x:v>DL-moex-101468</x:v>
      </x:c>
      <x:c r="B10" s="43" t="n">
        <x:v>46199</x:v>
      </x:c>
      <x:c r="C10" s="41" t="str">
        <x:v>MOEX disclosure</x:v>
      </x:c>
      <x:c r="D10" s="41" t="str">
        <x:v>See Precedent Transactions → Source URL</x:v>
      </x:c>
      <x:c r="E10" s="41" t="str">
        <x:v>confirmed</x:v>
      </x:c>
      <x:c r="F10" s="41" t="str">
        <x:v>О регистрации изменений в эмиссионные документы</x:v>
      </x:c>
    </x:row>
    <x:row r="11">
      <x:c r="A11" s="41" t="str">
        <x:v>DL-moex-101457</x:v>
      </x:c>
      <x:c r="B11" s="43" t="n">
        <x:v>46199</x:v>
      </x:c>
      <x:c r="C11" s="41" t="str">
        <x:v>MOEX disclosure</x:v>
      </x:c>
      <x:c r="D11" s="41" t="str">
        <x:v>See Precedent Transactions → Source URL</x:v>
      </x:c>
      <x:c r="E11" s="41" t="str">
        <x:v>confirmed</x:v>
      </x:c>
      <x:c r="F11" s="41" t="str">
        <x:v>О порядке сбора заявок и заключения сделок при размещении облигаций серии Б-1-403 Банк ВТБ (публичное акционерное общество) с 29 июня 2026 года</x:v>
      </x:c>
    </x:row>
    <x:row r="12">
      <x:c r="A12" s="41" t="str">
        <x:v>DL-moex-101454</x:v>
      </x:c>
      <x:c r="B12" s="43" t="n">
        <x:v>46199</x:v>
      </x:c>
      <x:c r="C12" s="41" t="str">
        <x:v>MOEX disclosure</x:v>
      </x:c>
      <x:c r="D12" s="41" t="str">
        <x:v>See Precedent Transactions → Source URL</x:v>
      </x:c>
      <x:c r="E12" s="41" t="str">
        <x:v>confirmed</x:v>
      </x:c>
      <x:c r="F12" s="41" t="str">
        <x:v>О порядке приобретения облигаций серии 001P-04 ООО "АРЕНЗА-ПРО" с 29 июня 2026 год</x:v>
      </x:c>
    </x:row>
    <x:row r="13">
      <x:c r="A13" s="41" t="str">
        <x:v>DL-moex-101451</x:v>
      </x:c>
      <x:c r="B13" s="43" t="n">
        <x:v>46199</x:v>
      </x:c>
      <x:c r="C13" s="41" t="str">
        <x:v>MOEX disclosure</x:v>
      </x:c>
      <x:c r="D13" s="41" t="str">
        <x:v>See Precedent Transactions → Source URL</x:v>
      </x:c>
      <x:c r="E13" s="41" t="str">
        <x:v>confirmed</x:v>
      </x:c>
      <x:c r="F13" s="41" t="str">
        <x:v>О проведении выкупа облигаций с 29 июня по 03 июля 2026 года</x:v>
      </x:c>
    </x:row>
    <x:row r="14">
      <x:c r="A14" s="41" t="str">
        <x:v>DL-moex-101450</x:v>
      </x:c>
      <x:c r="B14" s="43" t="n">
        <x:v>46199</x:v>
      </x:c>
      <x:c r="C14" s="41" t="str">
        <x:v>MOEX disclosure</x:v>
      </x:c>
      <x:c r="D14" s="41" t="str">
        <x:v>See Precedent Transactions → Source URL</x:v>
      </x:c>
      <x:c r="E14" s="41" t="str">
        <x:v>confirmed</x:v>
      </x:c>
      <x:c r="F14" s="41" t="str">
        <x:v>Дополнительные условия проведения торгов по выкупу облигаций серии 003Р-02 ООО "Концерн "РОССИУМ" 26 июня 2026 года</x:v>
      </x:c>
    </x:row>
    <x:row r="15">
      <x:c r="A15" s="41" t="str">
        <x:v>DL-bec65812ff9fcfae</x:v>
      </x:c>
      <x:c r="B15" s="43" t="n">
        <x:v>46197</x:v>
      </x:c>
      <x:c r="C15" s="41" t="str">
        <x:v>ComNews.ru</x:v>
      </x:c>
      <x:c r="D15" s="41" t="str">
        <x:v>See Precedent Transactions → Source URL</x:v>
      </x:c>
      <x:c r="E15" s="41" t="str">
        <x:v>unverified</x:v>
      </x:c>
      <x:c r="F15" s="41" t="str">
        <x:v>Selectel разместит облигации на 5 млрд руб. для рефинансирования и инвестиций - ComNews.ru</x:v>
      </x:c>
    </x:row>
    <x:row r="16">
      <x:c r="A16" s="41" t="str">
        <x:v>DL-7a721642a53e0f1d</x:v>
      </x:c>
      <x:c r="B16" s="43" t="n">
        <x:v>46192</x:v>
      </x:c>
      <x:c r="C16" s="41" t="str">
        <x:v>Yandex Investor Relations</x:v>
      </x:c>
      <x:c r="D16" s="41" t="str">
        <x:v>See Precedent Transactions → Source URL</x:v>
      </x:c>
      <x:c r="E16" s="41" t="str">
        <x:v>confirmed</x:v>
      </x:c>
      <x:c r="F16" s="41" t="str">
        <x:v>Яндекс разместил два выпуска биржевых облигаций на общую сумму 60 млрд рублей</x:v>
      </x:c>
    </x:row>
    <x:row r="20" ht="22" customHeight="1">
      <x:c r="A20" s="9" t="str">
        <x:v>DATABASE CHECKS</x:v>
      </x:c>
      <x:c r="B20" s="9"/>
      <x:c r="C20" s="9"/>
      <x:c r="D20" s="9"/>
      <x:c r="E20" s="9"/>
      <x:c r="F20" s="9"/>
      <x:c r="G20" s="9"/>
      <x:c r="H20" s="9"/>
    </x:row>
    <x:row r="22" ht="32" customHeight="1">
      <x:c r="A22" s="17" t="str">
        <x:v>Check</x:v>
      </x:c>
      <x:c r="B22" s="18" t="str">
        <x:v>Actual</x:v>
      </x:c>
      <x:c r="C22" s="18" t="str">
        <x:v>Expected</x:v>
      </x:c>
      <x:c r="D22" s="18" t="str">
        <x:v>Difference</x:v>
      </x:c>
      <x:c r="E22" s="18" t="str">
        <x:v>Tolerance</x:v>
      </x:c>
      <x:c r="F22" s="19" t="str">
        <x:v>Status</x:v>
      </x:c>
    </x:row>
    <x:row r="23">
      <x:c r="A23" t="str">
        <x:v>Duplicate deal IDs</x:v>
      </x:c>
      <x:c r="B23" t="n">
        <x:f>SUMPRODUCT(--(COUNTIF('Precedent Transactions'!$A$7:$A$56,'Precedent Transactions'!$A$7:$A$56)&gt;1))/2</x:f>
        <x:v>0</x:v>
      </x:c>
      <x:c r="C23" t="n">
        <x:v>0</x:v>
      </x:c>
      <x:c r="D23" t="n">
        <x:f>B23-C23</x:f>
        <x:v>0</x:v>
      </x:c>
      <x:c r="E23" t="n">
        <x:v>0</x:v>
      </x:c>
      <x:c r="F23" t="str">
        <x:f>IF(ABS(D23)&lt;=E23,"OK","REVIEW")</x:f>
        <x:v>OK</x:v>
      </x:c>
    </x:row>
    <x:row r="24">
      <x:c r="A24" t="str">
        <x:v>Missing source URLs</x:v>
      </x:c>
      <x:c r="B24" t="n">
        <x:f>COUNTBLANK('Precedent Transactions'!$AA$7:$AA$56)</x:f>
        <x:v>0</x:v>
      </x:c>
      <x:c r="C24" t="n">
        <x:v>0</x:v>
      </x:c>
      <x:c r="D24" t="n">
        <x:f>B24-C24</x:f>
        <x:v>0</x:v>
      </x:c>
      <x:c r="E24" t="n">
        <x:v>0</x:v>
      </x:c>
      <x:c r="F24" t="str">
        <x:f>IF(ABS(D24)&lt;=E24,"OK","REVIEW")</x:f>
        <x:v>OK</x:v>
      </x:c>
    </x:row>
    <x:row r="25">
      <x:c r="A25" t="str">
        <x:v>Missing announced dates</x:v>
      </x:c>
      <x:c r="B25" t="n">
        <x:f>COUNTBLANK('Precedent Transactions'!$B$7:$B$56)</x:f>
        <x:v>0</x:v>
      </x:c>
      <x:c r="C25" t="n">
        <x:v>0</x:v>
      </x:c>
      <x:c r="D25" t="n">
        <x:f>B25-C25</x:f>
        <x:v>0</x:v>
      </x:c>
      <x:c r="E25" t="n">
        <x:v>0</x:v>
      </x:c>
      <x:c r="F25" t="str">
        <x:f>IF(ABS(D25)&lt;=E25,"OK","REVIEW")</x:f>
        <x:v>OK</x:v>
      </x:c>
    </x:row>
    <x:row r="26">
      <x:c r="A26" t="str">
        <x:v>Unsafe / non-HTTP URLs</x:v>
      </x:c>
      <x:c r="B26" t="n">
        <x:f>SUMPRODUCT(--(LEFT('Precedent Transactions'!$AA$7:$AA$56,4)&lt;&gt;"http"),--('Precedent Transactions'!$A$7:$A$56&lt;&gt;""))</x:f>
        <x:v>0</x:v>
      </x:c>
      <x:c r="C26" t="n">
        <x:v>0</x:v>
      </x:c>
      <x:c r="D26" t="n">
        <x:f>B26-C26</x:f>
        <x:v>0</x:v>
      </x:c>
      <x:c r="E26" t="n">
        <x:v>0</x:v>
      </x:c>
      <x:c r="F26" t="str">
        <x:f>IF(ABS(D26)&lt;=E26,"OK","REVIEW")</x:f>
        <x:v>OK</x:v>
      </x:c>
    </x:row>
    <x:row r="27">
      <x:c r="A27" t="str">
        <x:v>Missing target / issuer</x:v>
      </x:c>
      <x:c r="B27" t="n">
        <x:f>COUNTIF('Precedent Transactions'!$E$7:$E$56,"Not disclosed")</x:f>
        <x:v>25</x:v>
      </x:c>
      <x:c r="C27" t="n">
        <x:v>0</x:v>
      </x:c>
      <x:c r="D27" t="n">
        <x:f>B27-C27</x:f>
        <x:v>25</x:v>
      </x:c>
      <x:c r="E27" t="n">
        <x:v>0</x:v>
      </x:c>
      <x:c r="F27" t="str">
        <x:f>IF(ABS(D27)&lt;=E27,"OK","REVIEW")</x:f>
        <x:v>REVIEW</x:v>
      </x:c>
    </x:row>
    <x:row r="28">
      <x:c r="A28" t="str">
        <x:v>EV without revenue/EBITDA</x:v>
      </x:c>
      <x:c r="B28" t="n">
        <x:f>SUMPRODUCT(--('Precedent Transactions'!$J$7:$J$56&gt;0),--('Precedent Transactions'!$O$7:$O$56=""),--('Precedent Transactions'!$P$7:$P$56=""))</x:f>
        <x:v>0</x:v>
      </x:c>
      <x:c r="C28" t="n">
        <x:v>0</x:v>
      </x:c>
      <x:c r="D28" t="n">
        <x:f>B28-C28</x:f>
        <x:v>0</x:v>
      </x:c>
      <x:c r="E28" t="n">
        <x:v>0</x:v>
      </x:c>
      <x:c r="F28" t="str">
        <x:f>IF(ABS(D28)&lt;=E28,"OK","REVIEW")</x:f>
        <x:v>OK</x:v>
      </x:c>
    </x:row>
    <x:row r="29">
      <x:c r="A29" t="str">
        <x:v>Multiple without enterprise value</x:v>
      </x:c>
      <x:c r="B29" t="n">
        <x:f>SUMPRODUCT(--('Precedent Transactions'!$J$7:$J$56=""),--((('Precedent Transactions'!$S$7:$S$56&gt;0)+('Precedent Transactions'!$T$7:$T$56&gt;0))&gt;0))</x:f>
        <x:v>0</x:v>
      </x:c>
      <x:c r="C29" t="n">
        <x:v>0</x:v>
      </x:c>
      <x:c r="D29" t="n">
        <x:f>B29-C29</x:f>
        <x:v>0</x:v>
      </x:c>
      <x:c r="E29" t="n">
        <x:v>0</x:v>
      </x:c>
      <x:c r="F29" t="str">
        <x:f>IF(ABS(D29)&lt;=E29,"OK","REVIEW")</x:f>
        <x:v>OK</x:v>
      </x:c>
    </x:row>
    <x:row r="31">
      <x:c r="A31" s="63" t="str">
        <x:v>Overall model status</x:v>
      </x:c>
      <x:c r="B31" s="64"/>
      <x:c r="C31" s="64"/>
      <x:c r="D31" s="64"/>
      <x:c r="E31" s="64"/>
      <x:c r="F31" s="65" t="str">
        <x:f>IF(COUNTIF(F23:F29,"REVIEW")=0,"OK","REVIEW")</x:f>
        <x:v>REVIEW</x:v>
      </x:c>
    </x:row>
  </x:sheetData>
  <x:mergeCells>
    <x:mergeCell ref="A1:H1"/>
    <x:mergeCell ref="A2:H2"/>
    <x:mergeCell ref="A4:H4"/>
    <x:mergeCell ref="A20:H20"/>
    <x:mergeCell ref="A31:E31"/>
  </x:mergeCells>
  <x:conditionalFormatting sqref="F23:F31">
    <x:cfRule type="containsText" dxfId="0" priority="1" operator="containsText" text="OK"/>
    <x:cfRule type="containsText" dxfId="1" priority="2" operator="containsText" text="REVIEW"/>
  </x:conditionalFormatting>
  <x:pageMargins left="0.7" right="0.7" top="0.75" bottom="0.75" header="0.3" footer="0.3"/>
</x:worksheet>
</file>