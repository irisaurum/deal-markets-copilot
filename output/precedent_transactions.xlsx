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<sst xmlns="http://schemas.openxmlformats.org/spreadsheetml/2006/main" count="5569" uniqueCount="774">
  <si>
    <t>DEAL MARKETS COPILOT — SUMMARY</t>
  </si>
  <si>
    <t>As of 2026-07-20 | Build 7dd51c888995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</si>
  <si>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</si>
  <si>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</si>
  <si>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</si>
  <si>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</si>
  <si>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</si>
  <si>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</si>
  <si>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</si>
  <si>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</si>
  <si>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</si>
  <si>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</si>
  <si>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</si>
  <si>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</si>
  <si>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</si>
  <si>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</si>
  <si>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</si>
  <si>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</si>
  <si>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</si>
  <si>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</si>
  <si>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</si>
  <si>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</si>
  <si>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</si>
  <si>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</si>
  <si>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</si>
  <si>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</si>
  <si>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</si>
  <si>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</si>
  <si>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</si>
  <si>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</si>
  <si>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</si>
  <si>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</si>
  <si>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</si>
  <si>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</si>
  <si>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</si>
  <si>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</si>
  <si>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</si>
  <si>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</si>
  <si>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</si>
  <si>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</si>
  <si>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</si>
  <si>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</si>
  <si>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</si>
  <si>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</si>
  <si>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</si>
  <si>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</si>
  <si>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</si>
  <si>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</si>
  <si>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</si>
  <si>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</si>
  <si>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</si>
  <si>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</si>
  <si>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</si>
  <si>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</si>
  <si>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</si>
  <si>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</si>
  <si>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</si>
  <si>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</si>
  <si>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</si>
  <si>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</si>
  <si>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</si>
  <si>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</si>
  <si>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</si>
  <si>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</si>
  <si>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</si>
  <si>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</si>
  <si>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</si>
  <si>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</si>
  <si>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</si>
  <si>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</si>
  <si>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</si>
  <si>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</si>
  <si>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</si>
  <si>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</si>
  <si>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</si>
  <si>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</si>
  <si>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</si>
  <si>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</si>
  <si>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</si>
  <si>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</si>
  <si>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</si>
  <si>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</si>
  <si>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</si>
  <si>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</si>
  <si>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</si>
  <si>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</si>
  <si>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</si>
  <si>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</si>
  <si>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</si>
  <si>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</si>
  <si>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</si>
  <si>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</si>
  <si>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</si>
  <si>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</si>
  <si>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</si>
  <si>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</si>
  <si>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</si>
  <si>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DL-653a82804df07b21</t>
  </si>
  <si>
    <t>watchlist</t>
  </si>
  <si>
    <t>Not classified</t>
  </si>
  <si>
    <t>Bonds</t>
  </si>
  <si>
    <t>N/M: EV and aligned-currency financials are required</t>
  </si>
  <si>
    <t>rejected</t>
  </si>
  <si>
    <t>unverified</t>
  </si>
  <si>
    <t>InvestFuture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</si>
  <si>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</si>
  <si>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</si>
  <si>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</si>
  <si>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Reported</t>
  </si>
  <si>
    <t>RuStore</t>
  </si>
  <si>
    <t>Крупная сделка в IT-секторе: VK</t>
  </si>
  <si>
    <t>Acquisition / disposal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</si>
  <si>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</si>
  <si>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</si>
  <si>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</si>
  <si>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</si>
  <si>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Russia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</si>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</sst>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6" totalsRowShown="0">
  <autoFilter ref="A6:AT126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1" totalsRowShown="0">
  <autoFilter ref="A6:O41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4" totalsRowShown="0">
  <autoFilter ref="A6:K164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vestfuture.ru/articles/sinara-transportnye-mashiny-zafiksirovali-obyem-razmescheniya-obligatsiy-1183244019" TargetMode="External"/><Relationship Id="rId2" Type="http://schemas.openxmlformats.org/officeDocument/2006/relationships/hyperlink" Target="https://www.goha.ru/krupnaya-sdelka-v-it-sektore-vk-prodala-rustore-lGZz06" TargetMode="External"/><Relationship Id="rId3" Type="http://schemas.openxmlformats.org/officeDocument/2006/relationships/hyperlink" Target="https://business-magazine.online/fn_1906832.html" TargetMode="External"/><Relationship Id="rId4" Type="http://schemas.openxmlformats.org/officeDocument/2006/relationships/hyperlink" Target="https://expert.ru/news/cnn-obnaruzhil-svyaz-mezhdu-khvalebnymi-postami-donalda-trampa-v-adres-kompaniy-i-pokupkoy-ikh-aktsiy" TargetMode="External"/><Relationship Id="rId5" Type="http://schemas.openxmlformats.org/officeDocument/2006/relationships/hyperlink" Target="https://www.moex.com/n102161" TargetMode="External"/><Relationship Id="rId6" Type="http://schemas.openxmlformats.org/officeDocument/2006/relationships/hyperlink" Target="https://center.business-magazine.online/fn_1906052.html" TargetMode="External"/><Relationship Id="rId7" Type="http://schemas.openxmlformats.org/officeDocument/2006/relationships/hyperlink" Target="https://www.vedomosti.ru/investments/news/2026/07/15/1213753-v-gazprombanke-nazvali-potentsial" TargetMode="External"/><Relationship Id="rId8" Type="http://schemas.openxmlformats.org/officeDocument/2006/relationships/hyperlink" Target="https://www.vedomosti.ru/investments/news/2026/07/15/1213840-vis-dividendov" TargetMode="External"/><Relationship Id="rId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0" Type="http://schemas.openxmlformats.org/officeDocument/2006/relationships/hyperlink" Target="https://investfuture.ru/articles/atomenergoprom-uvelichil-obyem-razmescheniya-obligatsiy-1183127051" TargetMode="External"/><Relationship Id="rId11" Type="http://schemas.openxmlformats.org/officeDocument/2006/relationships/hyperlink" Target="https://prospect.com.ru/news/6868326/kompaniya-arkadiya-vologa-zaklyuchila-sdelku-na-1-mlrd-s-iistartapom-aktsii-vzleteli-na-58.html" TargetMode="External"/><Relationship Id="rId12" Type="http://schemas.openxmlformats.org/officeDocument/2006/relationships/hyperlink" Target="https://www.moex.com/n102108" TargetMode="External"/><Relationship Id="rId13" Type="http://schemas.openxmlformats.org/officeDocument/2006/relationships/hyperlink" Target="https://www.moex.com/n102121" TargetMode="External"/><Relationship Id="rId14" Type="http://schemas.openxmlformats.org/officeDocument/2006/relationships/hyperlink" Target="https://www.moex.com/n102042" TargetMode="External"/><Relationship Id="rId15" Type="http://schemas.openxmlformats.org/officeDocument/2006/relationships/hyperlink" Target="https://www.cbr.ru/press/PR/?file=639192135171625735DSD.htm" TargetMode="External"/><Relationship Id="rId16" Type="http://schemas.openxmlformats.org/officeDocument/2006/relationships/hyperlink" Target="https://www.moex.com/n101938" TargetMode="External"/><Relationship Id="rId17" Type="http://schemas.openxmlformats.org/officeDocument/2006/relationships/hyperlink" Target="https://www.moex.com/n101874" TargetMode="External"/><Relationship Id="rId18" Type="http://schemas.openxmlformats.org/officeDocument/2006/relationships/hyperlink" Target="https://selectel.ru/about/newsroom/news/selectel-razmestil-novyj-vypusk-obligacij-obemom-75-milliardov-rublej/" TargetMode="External"/><Relationship Id="rId19" Type="http://schemas.openxmlformats.org/officeDocument/2006/relationships/hyperlink" Target="https://ru.fashionnetwork.com/news/Amazon-namerena-privlech%CA%B9-25-mlrd-putem-razmeshcheniya-obligatsiy,1850796.html" TargetMode="External"/><Relationship Id="rId20" Type="http://schemas.openxmlformats.org/officeDocument/2006/relationships/hyperlink" Target="https://investfuture.ru/articles/rosseti-sibir-zapuskayut-razmeschenie-obligatsiy-na-10-0-mlrd-s-plavayuschim-kuponom-1182772325" TargetMode="External"/><Relationship Id="rId21" Type="http://schemas.openxmlformats.org/officeDocument/2006/relationships/hyperlink" Target="https://finance.mail.ru/article/trast-dzhima-kramera-polnostyu-prodal-aktsii-arm-holdings-dlya-fiksatsii-pribyili-69216903/" TargetMode="External"/><Relationship Id="rId22" Type="http://schemas.openxmlformats.org/officeDocument/2006/relationships/hyperlink" Target="https://finance.mail.ru/article/izbyitok-novyih-aktsij-i-obligatsij-ugrozhaet-rostu-amerikanskogo-fondovogo-ryinka-69216922/" TargetMode="External"/><Relationship Id="rId2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4" Type="http://schemas.openxmlformats.org/officeDocument/2006/relationships/hyperlink" Target="https://oninvest.com/article/spros-na-obligacii-giperskejlerov-slabeet-eto-pokazalo-razmesenie-amazon-na-25-mlrd" TargetMode="External"/><Relationship Id="rId2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6" Type="http://schemas.openxmlformats.org/officeDocument/2006/relationships/hyperlink" Target="https://www.moex.com/n101851" TargetMode="External"/><Relationship Id="rId27" Type="http://schemas.openxmlformats.org/officeDocument/2006/relationships/hyperlink" Target="https://www.moex.com/n101830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news.mondiara.com/categories/186/posts/241739" TargetMode="External"/><Relationship Id="rId31" Type="http://schemas.openxmlformats.org/officeDocument/2006/relationships/hyperlink" Target="https://www.vedomosti.ru/investments/news/2026/07/06/1211561-mosbirzhe-sdelki" TargetMode="External"/><Relationship Id="rId32" Type="http://schemas.openxmlformats.org/officeDocument/2006/relationships/hyperlink" Target="https://www.moex.com/n101768" TargetMode="External"/><Relationship Id="rId33" Type="http://schemas.openxmlformats.org/officeDocument/2006/relationships/hyperlink" Target="https://www.moex.com/n101755" TargetMode="External"/><Relationship Id="rId34" Type="http://schemas.openxmlformats.org/officeDocument/2006/relationships/hyperlink" Target="https://www.moex.com/n101762" TargetMode="External"/><Relationship Id="rId35" Type="http://schemas.openxmlformats.org/officeDocument/2006/relationships/hyperlink" Target="https://alfabank.ru/alfa-investor/posts/t/0f76d7ad-de76-f111-91c8-0050569e1fd0/" TargetMode="External"/><Relationship Id="rId36" Type="http://schemas.openxmlformats.org/officeDocument/2006/relationships/hyperlink" Target="https://www.moex.com/n101717" TargetMode="External"/><Relationship Id="rId37" Type="http://schemas.openxmlformats.org/officeDocument/2006/relationships/hyperlink" Target="https://www.moex.com/n101722" TargetMode="External"/><Relationship Id="rId38" Type="http://schemas.openxmlformats.org/officeDocument/2006/relationships/hyperlink" Target="https://www.moex.com/n101737" TargetMode="External"/><Relationship Id="rId39" Type="http://schemas.openxmlformats.org/officeDocument/2006/relationships/hyperlink" Target="https://www.moex.com/n101734" TargetMode="External"/><Relationship Id="rId40" Type="http://schemas.openxmlformats.org/officeDocument/2006/relationships/hyperlink" Target="https://www.moex.com/n101738" TargetMode="External"/><Relationship Id="rId41" Type="http://schemas.openxmlformats.org/officeDocument/2006/relationships/hyperlink" Target="https://www.moex.com/n101663" TargetMode="External"/><Relationship Id="rId42" Type="http://schemas.openxmlformats.org/officeDocument/2006/relationships/hyperlink" Target="https://www.moex.com/n101666" TargetMode="External"/><Relationship Id="rId43" Type="http://schemas.openxmlformats.org/officeDocument/2006/relationships/hyperlink" Target="https://www.moex.com/n101684" TargetMode="External"/><Relationship Id="rId44" Type="http://schemas.openxmlformats.org/officeDocument/2006/relationships/hyperlink" Target="https://www.moex.com/n101691" TargetMode="External"/><Relationship Id="rId45" Type="http://schemas.openxmlformats.org/officeDocument/2006/relationships/hyperlink" Target="https://www.moex.com/n101690" TargetMode="External"/><Relationship Id="rId46" Type="http://schemas.openxmlformats.org/officeDocument/2006/relationships/hyperlink" Target="https://www.moex.com/n101688" TargetMode="External"/><Relationship Id="rId47" Type="http://schemas.openxmlformats.org/officeDocument/2006/relationships/hyperlink" Target="https://prospect.com.ru/news/6836117/vtb-poluchil-v-zalog-krupnyj-paket-aktsij-ozon-summa-sdelki-320-milliardov-rublej.html" TargetMode="External"/><Relationship Id="rId48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9" Type="http://schemas.openxmlformats.org/officeDocument/2006/relationships/hyperlink" Target="https://www.moex.com/n101632" TargetMode="External"/><Relationship Id="rId50" Type="http://schemas.openxmlformats.org/officeDocument/2006/relationships/hyperlink" Target="https://www.moex.com/n101636" TargetMode="External"/><Relationship Id="rId51" Type="http://schemas.openxmlformats.org/officeDocument/2006/relationships/hyperlink" Target="https://www.moex.com/n101641" TargetMode="External"/><Relationship Id="rId52" Type="http://schemas.openxmlformats.org/officeDocument/2006/relationships/hyperlink" Target="https://www.moex.com/n101644" TargetMode="External"/><Relationship Id="rId53" Type="http://schemas.openxmlformats.org/officeDocument/2006/relationships/hyperlink" Target="https://tradersunion.com/ru/news/institutions/show/2532310-moscow-exchange-sberbank-bonds-ios-ydex/" TargetMode="External"/><Relationship Id="rId54" Type="http://schemas.openxmlformats.org/officeDocument/2006/relationships/hyperlink" Target="https://bcs-express.ru/novosti-i-analitika/vush-zavershil-pervyi-etap-razmeshcheniia-obligatsii" TargetMode="External"/><Relationship Id="rId55" Type="http://schemas.openxmlformats.org/officeDocument/2006/relationships/hyperlink" Target="https://www.moex.com/n101536" TargetMode="External"/><Relationship Id="rId56" Type="http://schemas.openxmlformats.org/officeDocument/2006/relationships/hyperlink" Target="https://www.moex.com/n101565" TargetMode="External"/><Relationship Id="rId57" Type="http://schemas.openxmlformats.org/officeDocument/2006/relationships/hyperlink" Target="https://www.moex.com/n101562" TargetMode="External"/><Relationship Id="rId58" Type="http://schemas.openxmlformats.org/officeDocument/2006/relationships/hyperlink" Target="https://www.moex.com/n101561" TargetMode="External"/><Relationship Id="rId59" Type="http://schemas.openxmlformats.org/officeDocument/2006/relationships/hyperlink" Target="https://www.moex.com/n101559" TargetMode="External"/><Relationship Id="rId60" Type="http://schemas.openxmlformats.org/officeDocument/2006/relationships/hyperlink" Target="https://finance.mail.ru/article/vyipusk-obligatsij-spacex-na-25-mlrd-vyizval-opaseniya-investorov-69215522/" TargetMode="External"/><Relationship Id="rId6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2" Type="http://schemas.openxmlformats.org/officeDocument/2006/relationships/hyperlink" Target="https://ir.mts.ru/news_and_events/corporate_releases/details/742414" TargetMode="External"/><Relationship Id="rId63" Type="http://schemas.openxmlformats.org/officeDocument/2006/relationships/hyperlink" Target="https://finance.mail.ru/article/molodyie-investoryi-uvelichili-vlozheniya-v-obligatsii-v-dva-raza-69215293/" TargetMode="External"/><Relationship Id="rId6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5" Type="http://schemas.openxmlformats.org/officeDocument/2006/relationships/hyperlink" Target="https://www.moex.com/n101473" TargetMode="External"/><Relationship Id="rId66" Type="http://schemas.openxmlformats.org/officeDocument/2006/relationships/hyperlink" Target="https://www.moex.com/n101492" TargetMode="External"/><Relationship Id="rId67" Type="http://schemas.openxmlformats.org/officeDocument/2006/relationships/hyperlink" Target="https://www.moex.com/n101468" TargetMode="External"/><Relationship Id="rId68" Type="http://schemas.openxmlformats.org/officeDocument/2006/relationships/hyperlink" Target="https://www.moex.com/n101457" TargetMode="External"/><Relationship Id="rId69" Type="http://schemas.openxmlformats.org/officeDocument/2006/relationships/hyperlink" Target="https://www.moex.com/n101454" TargetMode="External"/><Relationship Id="rId70" Type="http://schemas.openxmlformats.org/officeDocument/2006/relationships/hyperlink" Target="https://www.moex.com/n101451" TargetMode="External"/><Relationship Id="rId71" Type="http://schemas.openxmlformats.org/officeDocument/2006/relationships/hyperlink" Target="https://www.moex.com/n101450" TargetMode="External"/><Relationship Id="rId7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3" Type="http://schemas.openxmlformats.org/officeDocument/2006/relationships/hyperlink" Target="https://news.whoosh-bike.ru/soobshchaet_o_zavershenii_pervogo_etapa_razmeshcheniya_obligacij_i_prodlenii" TargetMode="External"/><Relationship Id="rId74" Type="http://schemas.openxmlformats.org/officeDocument/2006/relationships/hyperlink" Target="https://ir.yandex.ru/press-releases?year=2026&amp;id=19-06-2026-03" TargetMode="External"/><Relationship Id="rId7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6" Type="http://schemas.openxmlformats.org/officeDocument/2006/relationships/hyperlink" Target="https://bcs-express.ru/novosti-i-analitika/gref-oproverg-dogovorennost-sbera-o-pokupke-doli-v-ozone" TargetMode="External"/><Relationship Id="rId77" Type="http://schemas.openxmlformats.org/officeDocument/2006/relationships/hyperlink" Target="https://ir.yandex.ru/press-releases?year=2026&amp;id=02-06-2026-04" TargetMode="External"/><Relationship Id="rId78" Type="http://schemas.openxmlformats.org/officeDocument/2006/relationships/hyperlink" Target="https://www.finam.ru/publications/item/yandeks-stal-osnovnym-pretendentom-na-pokupku-ostrovka-20260528-0928/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bcs-express.ru/novosti-i-analitika/aktsionery-ozon-utverdili-final-nye-dividendy-za-2025" TargetMode="External"/><Relationship Id="rId8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4" Type="http://schemas.openxmlformats.org/officeDocument/2006/relationships/hyperlink" Target="https://www.finmarket.ru/analytics/6616209" TargetMode="External"/><Relationship Id="rId85" Type="http://schemas.openxmlformats.org/officeDocument/2006/relationships/hyperlink" Target="https://bcs-express.ru/novosti-i-analitika/iandeks-odobril-vykup-aktsii-na-50-mlrd-rublei" TargetMode="External"/><Relationship Id="rId86" Type="http://schemas.openxmlformats.org/officeDocument/2006/relationships/hyperlink" Target="https://sbercib.ru/publication/rezultati-ozon-dom-rf-dividendi-yandeksa-i-tatnefti-i-drugie-novosti-nedeli" TargetMode="External"/><Relationship Id="rId87" Type="http://schemas.openxmlformats.org/officeDocument/2006/relationships/hyperlink" Target="https://www.vedomosti.ru/finance/news/2026/04/27/1193355-putin-isklyuchil" TargetMode="External"/><Relationship Id="rId88" Type="http://schemas.openxmlformats.org/officeDocument/2006/relationships/hyperlink" Target="https://bcs-express.ru/novosti-i-analitika/ozon-bank-iskliuchen-iz-perechnia-bankov-s-aktsiiami-kotorykh-zapreshcheny-sdelki" TargetMode="External"/><Relationship Id="rId89" Type="http://schemas.openxmlformats.org/officeDocument/2006/relationships/hyperlink" Target="https://glavportal.com/news/putin-razreshil-sdelki-s-akciyami-ozon-banka" TargetMode="External"/><Relationship Id="rId90" Type="http://schemas.openxmlformats.org/officeDocument/2006/relationships/hyperlink" Target="https://realnoevremya.ru/news/394463-s-ozon-banka-snyali-ogranicheniya-na-sdelki-s-akciyami-rasporyazhenie-putina" TargetMode="External"/><Relationship Id="rId91" Type="http://schemas.openxmlformats.org/officeDocument/2006/relationships/hyperlink" Target="https://bosfera.ru/press-release/ozon-bank-isklyuchen-iz-spiska-s-zapretom-na-sdelki-s-akciyami-i-dolyami" TargetMode="External"/><Relationship Id="rId92" Type="http://schemas.openxmlformats.org/officeDocument/2006/relationships/hyperlink" Target="https://alfabank.ru/alfa-investor/t/obligatsii-ozona-zarabotay-na-marketpleyse/" TargetMode="External"/><Relationship Id="rId93" Type="http://schemas.openxmlformats.org/officeDocument/2006/relationships/hyperlink" Target="https://expert.ru" TargetMode="External"/><Relationship Id="rId94" Type="http://schemas.openxmlformats.org/officeDocument/2006/relationships/hyperlink" Target="https://expert.ru/news/aktsionery-yandeksa-utverdili-dividendy-za-2025-god-v-razmere-110-rubley" TargetMode="External"/><Relationship Id="rId95" Type="http://schemas.openxmlformats.org/officeDocument/2006/relationships/hyperlink" Target="https://rb.ru/news/yandeks-odobril-dividendy-po-itogam-2025-go-vyplaty-sostavyat-110-za-akciyu-pochti-na-40-vyshe-chem-v-proshlom-godu/" TargetMode="External"/><Relationship Id="rId96" Type="http://schemas.openxmlformats.org/officeDocument/2006/relationships/hyperlink" Target="https://abn.agency/2026/04/20/ozon-sokratil-obem-obligaczionnogo-razmeshheniya-do-odnogo-vypuska/" TargetMode="External"/><Relationship Id="rId97" Type="http://schemas.openxmlformats.org/officeDocument/2006/relationships/hyperlink" Target="https://rb.ru/news/vk-prodal-25-akcij-tochka-banka-sdelku-ocenili-v-212-mlrd-vdvoe-vyshe-iznachalnoj-stoimosti-bumag/" TargetMode="External"/><Relationship Id="rId98" Type="http://schemas.openxmlformats.org/officeDocument/2006/relationships/hyperlink" Target="https://www.finam.ru/publications/item/dvoynoe-razmeshchenie-obligatsiy-vk-chego-zhdat-chastnym-investoram-20260410-1829/" TargetMode="External"/><Relationship Id="rId99" Type="http://schemas.openxmlformats.org/officeDocument/2006/relationships/hyperlink" Target="https://alfabank.ru/alfa-investor/posts/t/1238104e-fa34-f111-91c8-0050569ebac3/" TargetMode="External"/><Relationship Id="rId100" Type="http://schemas.openxmlformats.org/officeDocument/2006/relationships/hyperlink" Target="https://expert.ru" TargetMode="External"/><Relationship Id="rId101" Type="http://schemas.openxmlformats.org/officeDocument/2006/relationships/hyperlink" Target="https://expert.ru/news/ozon-anonsiroval-razmeshchenie-obligatsiy-na-15-mlrd-rubley" TargetMode="External"/><Relationship Id="rId102" Type="http://schemas.openxmlformats.org/officeDocument/2006/relationships/hyperlink" Target="https://bcs-express.ru/novosti-i-analitika/ozon-planiruet-debiutnoe-razmeshchenie-birzhevykh-obligatsii" TargetMode="External"/><Relationship Id="rId103" Type="http://schemas.openxmlformats.org/officeDocument/2006/relationships/hyperlink" Target="https://vk.company/investors/info/12271/" TargetMode="External"/><Relationship Id="rId104" Type="http://schemas.openxmlformats.org/officeDocument/2006/relationships/hyperlink" Target="https://www.finam.ru/publications/item/vk-razmeshchaet-obligatsii-kak-eto-otrazitsya-na-investorakh-v-aktsii-20260330-1740/" TargetMode="External"/><Relationship Id="rId105" Type="http://schemas.openxmlformats.org/officeDocument/2006/relationships/hyperlink" Target="https://selectel.ru/about/newsroom/news/selectel-razmestil-novyj-vypusk-obligaczij-i-privlek-7-milliardov-rublej-na-razvitie-biznesa/" TargetMode="External"/><Relationship Id="rId106" Type="http://schemas.openxmlformats.org/officeDocument/2006/relationships/hyperlink" Target="https://selectel.ru/about/newsroom/news/selectel-uvelichil-obem-novogo-vypuska-obligaczij-do-6-mlrd-rublej-na-fone-vysokogo-sprosa/" TargetMode="External"/><Relationship Id="rId107" Type="http://schemas.openxmlformats.org/officeDocument/2006/relationships/hyperlink" Target="https://ir.yandex.ru/press-releases?year=2025&amp;id=01-13-03-2025" TargetMode="External"/><Relationship Id="rId108" Type="http://schemas.openxmlformats.org/officeDocument/2006/relationships/hyperlink" Target="https://selectel.ru/about/newsroom/news/selectel-soobshchaet-o-priobretenii-oblachnogo-provajdera-servers-ru/" TargetMode="External"/><Relationship Id="rId109" Type="http://schemas.openxmlformats.org/officeDocument/2006/relationships/hyperlink" Target="https://selectel.ru/about/newsroom/news/selectel-planiruet-razmeshhenie-obligaczij-obemom-3-milliarda-rublej-2/" TargetMode="External"/><Relationship Id="rId11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1" Type="http://schemas.openxmlformats.org/officeDocument/2006/relationships/hyperlink" Target="https://selectel.ru/about/newsroom/news/selectel-planiruet-razmeshhenie-obligaczij-obemom-3-milliarda-rublej/" TargetMode="External"/><Relationship Id="rId112" Type="http://schemas.openxmlformats.org/officeDocument/2006/relationships/hyperlink" Target="https://selectel.ru/about/newsroom/news/investicionnyj-fond-tier-5-priobrel-25-provajdera-it-infrastruktury-selectel/" TargetMode="External"/><Relationship Id="rId11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4" Type="http://schemas.openxmlformats.org/officeDocument/2006/relationships/hyperlink" Target="https://investors.broadcom.com/news-releases/news-release-details/broadcom-acquire-vmware-approximately-61-billion-cash-and-stock" TargetMode="External"/><Relationship Id="rId115" Type="http://schemas.openxmlformats.org/officeDocument/2006/relationships/hyperlink" Target="https://www.anaplan.com/news/thoma-bravo-completes-acquisition-of-anaplan/" TargetMode="External"/><Relationship Id="rId116" Type="http://schemas.openxmlformats.org/officeDocument/2006/relationships/hyperlink" Target="https://www.sec.gov/Archives/edgar/data/877890/000087789022000019/ctxs-20211231.htm" TargetMode="External"/><Relationship Id="rId11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8" Type="http://schemas.openxmlformats.org/officeDocument/2006/relationships/hyperlink" Target="https://www.salesforce.com/news/press-releases/2020/12/01/salesforce-definitive-agreement-update/" TargetMode="External"/><Relationship Id="rId119" Type="http://schemas.openxmlformats.org/officeDocument/2006/relationships/hyperlink" Target="https://ir.amd.com/news-events/press-releases/detail/977/amd-to-acquire-xilinx-creating-the-industrys-high-performance-computing-leader" TargetMode="External"/><Relationship Id="rId120" Type="http://schemas.openxmlformats.org/officeDocument/2006/relationships/hyperlink" Target="https://www.salesforce.com/news/press-releases/2019/06/10/salesforce-signs-definitive-agreement-to-acquire-tableau/" TargetMode="External"/><Relationship Id="rId12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2" Type="http://schemas.openxmlformats.org/officeDocument/2006/relationships/hyperlink" Target="https://news.microsoft.com/source/2016/06/13/microsoft-to-acquire-linkedin/" TargetMode="External"/><Relationship Id="rId12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investfuture.ru/articles/sinara-transportnye-mashiny-zafiksirovali-obyem-razmescheniya-obligatsiy-1183244019" TargetMode="External"/><Relationship Id="rId2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3" Type="http://schemas.openxmlformats.org/officeDocument/2006/relationships/hyperlink" Target="https://www.goha.ru/krupnaya-sdelka-v-it-sektore-vk-prodala-rustore-lGZz06" TargetMode="External"/><Relationship Id="rId4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5" Type="http://schemas.openxmlformats.org/officeDocument/2006/relationships/hyperlink" Target="https://business-magazine.online/fn_1906832.html" TargetMode="External"/><Relationship Id="rId6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7" Type="http://schemas.openxmlformats.org/officeDocument/2006/relationships/hyperlink" Target="https://expert.ru/news/cnn-obnaruzhil-svyaz-mezhdu-khvalebnymi-postami-donalda-trampa-v-adres-kompaniy-i-pokupkoy-ikh-aktsiy" TargetMode="External"/><Relationship Id="rId8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9" Type="http://schemas.openxmlformats.org/officeDocument/2006/relationships/hyperlink" Target="https://www.moex.com/n102161" TargetMode="External"/><Relationship Id="rId10" Type="http://schemas.openxmlformats.org/officeDocument/2006/relationships/hyperlink" Target="https://www.moex.com/n102161" TargetMode="External"/><Relationship Id="rId11" Type="http://schemas.openxmlformats.org/officeDocument/2006/relationships/hyperlink" Target="https://center.business-magazine.online/fn_1906052.html" TargetMode="External"/><Relationship Id="rId12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13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4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5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6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7" Type="http://schemas.openxmlformats.org/officeDocument/2006/relationships/hyperlink" Target="https://www.vedomosti.ru/investments/news/2026/07/15/1213753-v-gazprombanke-nazvali-potentsial" TargetMode="External"/><Relationship Id="rId18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19" Type="http://schemas.openxmlformats.org/officeDocument/2006/relationships/hyperlink" Target="https://www.vedomosti.ru/investments/news/2026/07/15/1213840-vis-dividendov" TargetMode="External"/><Relationship Id="rId20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2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3" Type="http://schemas.openxmlformats.org/officeDocument/2006/relationships/hyperlink" Target="https://investfuture.ru/articles/atomenergoprom-uvelichil-obyem-razmescheniya-obligatsiy-1183127051" TargetMode="External"/><Relationship Id="rId24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25" Type="http://schemas.openxmlformats.org/officeDocument/2006/relationships/hyperlink" Target="https://prospect.com.ru/news/6868326/kompaniya-arkadiya-vologa-zaklyuchila-sdelku-na-1-mlrd-s-iistartapom-aktsii-vzleteli-na-58.html" TargetMode="External"/><Relationship Id="rId26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27" Type="http://schemas.openxmlformats.org/officeDocument/2006/relationships/hyperlink" Target="https://www.moex.com/n102108" TargetMode="External"/><Relationship Id="rId28" Type="http://schemas.openxmlformats.org/officeDocument/2006/relationships/hyperlink" Target="https://www.moex.com/n102108" TargetMode="External"/><Relationship Id="rId29" Type="http://schemas.openxmlformats.org/officeDocument/2006/relationships/hyperlink" Target="https://www.moex.com/n102121" TargetMode="External"/><Relationship Id="rId30" Type="http://schemas.openxmlformats.org/officeDocument/2006/relationships/hyperlink" Target="https://www.moex.com/n102121" TargetMode="External"/><Relationship Id="rId31" Type="http://schemas.openxmlformats.org/officeDocument/2006/relationships/hyperlink" Target="https://www.moex.com/n102042" TargetMode="External"/><Relationship Id="rId32" Type="http://schemas.openxmlformats.org/officeDocument/2006/relationships/hyperlink" Target="https://www.moex.com/n102042" TargetMode="External"/><Relationship Id="rId33" Type="http://schemas.openxmlformats.org/officeDocument/2006/relationships/hyperlink" Target="https://www.cbr.ru/press/PR/?file=639192135171625735DSD.htm" TargetMode="External"/><Relationship Id="rId34" Type="http://schemas.openxmlformats.org/officeDocument/2006/relationships/hyperlink" Target="https://www.cbr.ru/press/PR/?file=639192135171625735DSD.htm" TargetMode="External"/><Relationship Id="rId35" Type="http://schemas.openxmlformats.org/officeDocument/2006/relationships/hyperlink" Target="https://www.moex.com/n101938" TargetMode="External"/><Relationship Id="rId36" Type="http://schemas.openxmlformats.org/officeDocument/2006/relationships/hyperlink" Target="https://www.moex.com/n101938" TargetMode="External"/><Relationship Id="rId37" Type="http://schemas.openxmlformats.org/officeDocument/2006/relationships/hyperlink" Target="https://www.moex.com/n101874" TargetMode="External"/><Relationship Id="rId38" Type="http://schemas.openxmlformats.org/officeDocument/2006/relationships/hyperlink" Target="https://www.moex.com/n101874" TargetMode="External"/><Relationship Id="rId39" Type="http://schemas.openxmlformats.org/officeDocument/2006/relationships/hyperlink" Target="https://selectel.ru/about/newsroom/news/selectel-razmestil-novyj-vypusk-obligacij-obemom-75-milliardov-rublej/" TargetMode="External"/><Relationship Id="rId40" Type="http://schemas.openxmlformats.org/officeDocument/2006/relationships/hyperlink" Target="https://selectel.ru/about/newsroom/news/selectel-razmestil-novyj-vypusk-obligacij-obemom-75-milliardov-rublej/" TargetMode="External"/><Relationship Id="rId41" Type="http://schemas.openxmlformats.org/officeDocument/2006/relationships/hyperlink" Target="https://ru.fashionnetwork.com/news/Amazon-namerena-privlech%CA%B9-25-mlrd-putem-razmeshcheniya-obligatsiy,1850796.html" TargetMode="External"/><Relationship Id="rId4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43" Type="http://schemas.openxmlformats.org/officeDocument/2006/relationships/hyperlink" Target="https://investfuture.ru/articles/rosseti-sibir-zapuskayut-razmeschenie-obligatsiy-na-10-0-mlrd-s-plavayuschim-kuponom-1182772325" TargetMode="External"/><Relationship Id="rId4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45" Type="http://schemas.openxmlformats.org/officeDocument/2006/relationships/hyperlink" Target="https://finance.mail.ru/article/trast-dzhima-kramera-polnostyu-prodal-aktsii-arm-holdings-dlya-fiksatsii-pribyili-69216903/" TargetMode="External"/><Relationship Id="rId4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47" Type="http://schemas.openxmlformats.org/officeDocument/2006/relationships/hyperlink" Target="https://finance.mail.ru/article/izbyitok-novyih-aktsij-i-obligatsij-ugrozhaet-rostu-amerikanskogo-fondovogo-ryinka-69216922/" TargetMode="External"/><Relationship Id="rId4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4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5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51" Type="http://schemas.openxmlformats.org/officeDocument/2006/relationships/hyperlink" Target="https://oninvest.com/article/spros-na-obligacii-giperskejlerov-slabeet-eto-pokazalo-razmesenie-amazon-na-25-mlrd" TargetMode="External"/><Relationship Id="rId5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5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5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55" Type="http://schemas.openxmlformats.org/officeDocument/2006/relationships/hyperlink" Target="https://www.moex.com/n101851" TargetMode="External"/><Relationship Id="rId56" Type="http://schemas.openxmlformats.org/officeDocument/2006/relationships/hyperlink" Target="https://www.moex.com/n101851" TargetMode="External"/><Relationship Id="rId57" Type="http://schemas.openxmlformats.org/officeDocument/2006/relationships/hyperlink" Target="https://www.moex.com/n101830" TargetMode="External"/><Relationship Id="rId58" Type="http://schemas.openxmlformats.org/officeDocument/2006/relationships/hyperlink" Target="https://www.moex.com/n101830" TargetMode="External"/><Relationship Id="rId59" Type="http://schemas.openxmlformats.org/officeDocument/2006/relationships/hyperlink" Target="https://www.moex.com/n101798" TargetMode="External"/><Relationship Id="rId60" Type="http://schemas.openxmlformats.org/officeDocument/2006/relationships/hyperlink" Target="https://www.moex.com/n101798" TargetMode="External"/><Relationship Id="rId61" Type="http://schemas.openxmlformats.org/officeDocument/2006/relationships/hyperlink" Target="https://www.moex.com/n101795" TargetMode="External"/><Relationship Id="rId62" Type="http://schemas.openxmlformats.org/officeDocument/2006/relationships/hyperlink" Target="https://www.moex.com/n101795" TargetMode="External"/><Relationship Id="rId63" Type="http://schemas.openxmlformats.org/officeDocument/2006/relationships/hyperlink" Target="https://news.mondiara.com/categories/186/posts/241739" TargetMode="External"/><Relationship Id="rId64" Type="http://schemas.openxmlformats.org/officeDocument/2006/relationships/hyperlink" Target="https://news.mondiara.com/categories/186/posts/241739" TargetMode="External"/><Relationship Id="rId65" Type="http://schemas.openxmlformats.org/officeDocument/2006/relationships/hyperlink" Target="https://www.vedomosti.ru/investments/news/2026/07/06/1211561-mosbirzhe-sdelki" TargetMode="External"/><Relationship Id="rId6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67" Type="http://schemas.openxmlformats.org/officeDocument/2006/relationships/hyperlink" Target="https://www.moex.com/n101768" TargetMode="External"/><Relationship Id="rId68" Type="http://schemas.openxmlformats.org/officeDocument/2006/relationships/hyperlink" Target="https://www.moex.com/n101768" TargetMode="External"/><Relationship Id="rId69" Type="http://schemas.openxmlformats.org/officeDocument/2006/relationships/hyperlink" Target="https://www.moex.com/n101755" TargetMode="External"/><Relationship Id="rId70" Type="http://schemas.openxmlformats.org/officeDocument/2006/relationships/hyperlink" Target="https://www.moex.com/n101755" TargetMode="External"/><Relationship Id="rId71" Type="http://schemas.openxmlformats.org/officeDocument/2006/relationships/hyperlink" Target="https://www.moex.com/n101762" TargetMode="External"/><Relationship Id="rId72" Type="http://schemas.openxmlformats.org/officeDocument/2006/relationships/hyperlink" Target="https://www.moex.com/n101762" TargetMode="External"/><Relationship Id="rId73" Type="http://schemas.openxmlformats.org/officeDocument/2006/relationships/hyperlink" Target="https://alfabank.ru/alfa-investor/posts/t/0f76d7ad-de76-f111-91c8-0050569e1fd0/" TargetMode="External"/><Relationship Id="rId74" Type="http://schemas.openxmlformats.org/officeDocument/2006/relationships/hyperlink" Target="https://alfabank.ru/alfa-investor/posts/t/0f76d7ad-de76-f111-91c8-0050569e1fd0/" TargetMode="External"/><Relationship Id="rId75" Type="http://schemas.openxmlformats.org/officeDocument/2006/relationships/hyperlink" Target="https://bcs-express.ru/profit/post/c04797af-4e2e-4910-8d54-2d182d38008c" TargetMode="External"/><Relationship Id="rId7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77" Type="http://schemas.openxmlformats.org/officeDocument/2006/relationships/hyperlink" Target="https://ru.investing.com/analysis/article-200333133" TargetMode="External"/><Relationship Id="rId78" Type="http://schemas.openxmlformats.org/officeDocument/2006/relationships/hyperlink" Target="https://ru.investing.com/analysis/article-200333133" TargetMode="External"/><Relationship Id="rId79" Type="http://schemas.openxmlformats.org/officeDocument/2006/relationships/hyperlink" Target="https://news.google.com/rss/articles/CBMiQkFVX3lxTE4xQlkzTklhYTlOaGd1ZXM0QUxfQ1htR29nMm1iX1JpWWlSb1l6ZzBGRUEwMDdRVzUyRDUxcmlZUEtVdw?oc=5" TargetMode="External"/><Relationship Id="rId80" Type="http://schemas.openxmlformats.org/officeDocument/2006/relationships/hyperlink" Target="https://news.google.com/rss/articles/CBMiQkFVX3lxTE4xQlkzTklhYTlOaGd1ZXM0QUxfQ1htR29nMm1iX1JpWWlSb1l6ZzBGRUEwMDdRVzUyRDUxcmlZUEtVdw?oc=5" TargetMode="External"/><Relationship Id="rId81" Type="http://schemas.openxmlformats.org/officeDocument/2006/relationships/hyperlink" Target="https://www.moex.com/n101717" TargetMode="External"/><Relationship Id="rId82" Type="http://schemas.openxmlformats.org/officeDocument/2006/relationships/hyperlink" Target="https://www.moex.com/n101717" TargetMode="External"/><Relationship Id="rId83" Type="http://schemas.openxmlformats.org/officeDocument/2006/relationships/hyperlink" Target="https://www.moex.com/n101722" TargetMode="External"/><Relationship Id="rId84" Type="http://schemas.openxmlformats.org/officeDocument/2006/relationships/hyperlink" Target="https://www.moex.com/n101722" TargetMode="External"/><Relationship Id="rId85" Type="http://schemas.openxmlformats.org/officeDocument/2006/relationships/hyperlink" Target="https://www.moex.com/n101737" TargetMode="External"/><Relationship Id="rId86" Type="http://schemas.openxmlformats.org/officeDocument/2006/relationships/hyperlink" Target="https://www.moex.com/n101737" TargetMode="External"/><Relationship Id="rId87" Type="http://schemas.openxmlformats.org/officeDocument/2006/relationships/hyperlink" Target="https://www.moex.com/n101734" TargetMode="External"/><Relationship Id="rId88" Type="http://schemas.openxmlformats.org/officeDocument/2006/relationships/hyperlink" Target="https://www.moex.com/n101734" TargetMode="External"/><Relationship Id="rId89" Type="http://schemas.openxmlformats.org/officeDocument/2006/relationships/hyperlink" Target="https://www.moex.com/n101738" TargetMode="External"/><Relationship Id="rId90" Type="http://schemas.openxmlformats.org/officeDocument/2006/relationships/hyperlink" Target="https://www.moex.com/n101738" TargetMode="External"/><Relationship Id="rId91" Type="http://schemas.openxmlformats.org/officeDocument/2006/relationships/hyperlink" Target="https://www.moex.com/n101663" TargetMode="External"/><Relationship Id="rId92" Type="http://schemas.openxmlformats.org/officeDocument/2006/relationships/hyperlink" Target="https://www.moex.com/n101663" TargetMode="External"/><Relationship Id="rId93" Type="http://schemas.openxmlformats.org/officeDocument/2006/relationships/hyperlink" Target="https://www.moex.com/n101666" TargetMode="External"/><Relationship Id="rId94" Type="http://schemas.openxmlformats.org/officeDocument/2006/relationships/hyperlink" Target="https://www.moex.com/n101666" TargetMode="External"/><Relationship Id="rId95" Type="http://schemas.openxmlformats.org/officeDocument/2006/relationships/hyperlink" Target="https://www.moex.com/n101684" TargetMode="External"/><Relationship Id="rId96" Type="http://schemas.openxmlformats.org/officeDocument/2006/relationships/hyperlink" Target="https://www.moex.com/n101684" TargetMode="External"/><Relationship Id="rId97" Type="http://schemas.openxmlformats.org/officeDocument/2006/relationships/hyperlink" Target="https://www.moex.com/n101691" TargetMode="External"/><Relationship Id="rId98" Type="http://schemas.openxmlformats.org/officeDocument/2006/relationships/hyperlink" Target="https://www.moex.com/n101691" TargetMode="External"/><Relationship Id="rId99" Type="http://schemas.openxmlformats.org/officeDocument/2006/relationships/hyperlink" Target="https://www.moex.com/n101690" TargetMode="External"/><Relationship Id="rId100" Type="http://schemas.openxmlformats.org/officeDocument/2006/relationships/hyperlink" Target="https://www.moex.com/n101690" TargetMode="External"/><Relationship Id="rId101" Type="http://schemas.openxmlformats.org/officeDocument/2006/relationships/hyperlink" Target="https://www.moex.com/n101688" TargetMode="External"/><Relationship Id="rId102" Type="http://schemas.openxmlformats.org/officeDocument/2006/relationships/hyperlink" Target="https://www.moex.com/n101688" TargetMode="External"/><Relationship Id="rId103" Type="http://schemas.openxmlformats.org/officeDocument/2006/relationships/hyperlink" Target="https://prospect.com.ru/news/6836117/vtb-poluchil-v-zalog-krupnyj-paket-aktsij-ozon-summa-sdelki-320-milliardov-rublej.html" TargetMode="External"/><Relationship Id="rId104" Type="http://schemas.openxmlformats.org/officeDocument/2006/relationships/hyperlink" Target="https://prospect.com.ru/news/6836117/vtb-poluchil-v-zalog-krupnyj-paket-aktsij-ozon-summa-sdelki-320-milliardov-rublej.html" TargetMode="External"/><Relationship Id="rId105" Type="http://schemas.openxmlformats.org/officeDocument/2006/relationships/hyperlink" Target="https://investfuture.ru/articles/vtb-poluchaet-v-zalog-krupniy-paket-aktsiy-ozona-v-sdelke-na-300-0-mlrd-rubley-37123084" TargetMode="External"/><Relationship Id="rId106" Type="http://schemas.openxmlformats.org/officeDocument/2006/relationships/hyperlink" Target="https://investfuture.ru/articles/vtb-poluchaet-v-zalog-krupniy-paket-aktsiy-ozona-v-sdelke-na-300-0-mlrd-rubley-37123084" TargetMode="External"/><Relationship Id="rId10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1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13" Type="http://schemas.openxmlformats.org/officeDocument/2006/relationships/hyperlink" Target="https://www.moex.com/n101632" TargetMode="External"/><Relationship Id="rId114" Type="http://schemas.openxmlformats.org/officeDocument/2006/relationships/hyperlink" Target="https://www.moex.com/n101632" TargetMode="External"/><Relationship Id="rId115" Type="http://schemas.openxmlformats.org/officeDocument/2006/relationships/hyperlink" Target="https://www.moex.com/n101636" TargetMode="External"/><Relationship Id="rId116" Type="http://schemas.openxmlformats.org/officeDocument/2006/relationships/hyperlink" Target="https://www.moex.com/n101636" TargetMode="External"/><Relationship Id="rId117" Type="http://schemas.openxmlformats.org/officeDocument/2006/relationships/hyperlink" Target="https://www.moex.com/n101641" TargetMode="External"/><Relationship Id="rId118" Type="http://schemas.openxmlformats.org/officeDocument/2006/relationships/hyperlink" Target="https://www.moex.com/n101641" TargetMode="External"/><Relationship Id="rId119" Type="http://schemas.openxmlformats.org/officeDocument/2006/relationships/hyperlink" Target="https://www.moex.com/n101644" TargetMode="External"/><Relationship Id="rId120" Type="http://schemas.openxmlformats.org/officeDocument/2006/relationships/hyperlink" Target="https://www.moex.com/n101644" TargetMode="External"/><Relationship Id="rId121" Type="http://schemas.openxmlformats.org/officeDocument/2006/relationships/hyperlink" Target="https://tradersunion.com/ru/news/institutions/show/2532310-moscow-exchange-sberbank-bonds-ios-ydex/" TargetMode="External"/><Relationship Id="rId122" Type="http://schemas.openxmlformats.org/officeDocument/2006/relationships/hyperlink" Target="https://tradersunion.com/ru/news/institutions/show/2532310-moscow-exchange-sberbank-bonds-ios-ydex/" TargetMode="External"/><Relationship Id="rId123" Type="http://schemas.openxmlformats.org/officeDocument/2006/relationships/hyperlink" Target="https://bcs-express.ru/novosti-i-analitika/vush-zavershil-pervyi-etap-razmeshcheniia-obligatsii" TargetMode="External"/><Relationship Id="rId12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25" Type="http://schemas.openxmlformats.org/officeDocument/2006/relationships/hyperlink" Target="https://www.moex.com/n101536" TargetMode="External"/><Relationship Id="rId126" Type="http://schemas.openxmlformats.org/officeDocument/2006/relationships/hyperlink" Target="https://www.moex.com/n101536" TargetMode="External"/><Relationship Id="rId127" Type="http://schemas.openxmlformats.org/officeDocument/2006/relationships/hyperlink" Target="https://www.moex.com/n101565" TargetMode="External"/><Relationship Id="rId128" Type="http://schemas.openxmlformats.org/officeDocument/2006/relationships/hyperlink" Target="https://www.moex.com/n101565" TargetMode="External"/><Relationship Id="rId129" Type="http://schemas.openxmlformats.org/officeDocument/2006/relationships/hyperlink" Target="https://www.moex.com/n101562" TargetMode="External"/><Relationship Id="rId130" Type="http://schemas.openxmlformats.org/officeDocument/2006/relationships/hyperlink" Target="https://www.moex.com/n101562" TargetMode="External"/><Relationship Id="rId131" Type="http://schemas.openxmlformats.org/officeDocument/2006/relationships/hyperlink" Target="https://www.moex.com/n101561" TargetMode="External"/><Relationship Id="rId132" Type="http://schemas.openxmlformats.org/officeDocument/2006/relationships/hyperlink" Target="https://www.moex.com/n101561" TargetMode="External"/><Relationship Id="rId133" Type="http://schemas.openxmlformats.org/officeDocument/2006/relationships/hyperlink" Target="https://www.moex.com/n101559" TargetMode="External"/><Relationship Id="rId134" Type="http://schemas.openxmlformats.org/officeDocument/2006/relationships/hyperlink" Target="https://www.moex.com/n101559" TargetMode="External"/><Relationship Id="rId135" Type="http://schemas.openxmlformats.org/officeDocument/2006/relationships/hyperlink" Target="https://finance.mail.ru/article/vyipusk-obligatsij-spacex-na-25-mlrd-vyizval-opaseniya-investorov-69215522/" TargetMode="External"/><Relationship Id="rId13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3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3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39" Type="http://schemas.openxmlformats.org/officeDocument/2006/relationships/hyperlink" Target="https://ir.mts.ru/news_and_events/corporate_releases/details/742414" TargetMode="External"/><Relationship Id="rId140" Type="http://schemas.openxmlformats.org/officeDocument/2006/relationships/hyperlink" Target="https://ir.mts.ru/news_and_events/corporate_releases/details/742414" TargetMode="External"/><Relationship Id="rId141" Type="http://schemas.openxmlformats.org/officeDocument/2006/relationships/hyperlink" Target="https://finance.mail.ru/article/molodyie-investoryi-uvelichili-vlozheniya-v-obligatsii-v-dva-raza-69215293/" TargetMode="External"/><Relationship Id="rId14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4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5" Type="http://schemas.openxmlformats.org/officeDocument/2006/relationships/hyperlink" Target="https://www.moex.com/n101473" TargetMode="External"/><Relationship Id="rId146" Type="http://schemas.openxmlformats.org/officeDocument/2006/relationships/hyperlink" Target="https://www.moex.com/n101473" TargetMode="External"/><Relationship Id="rId147" Type="http://schemas.openxmlformats.org/officeDocument/2006/relationships/hyperlink" Target="https://www.moex.com/n101492" TargetMode="External"/><Relationship Id="rId148" Type="http://schemas.openxmlformats.org/officeDocument/2006/relationships/hyperlink" Target="https://www.moex.com/n101492" TargetMode="External"/><Relationship Id="rId149" Type="http://schemas.openxmlformats.org/officeDocument/2006/relationships/hyperlink" Target="https://www.moex.com/n101468" TargetMode="External"/><Relationship Id="rId150" Type="http://schemas.openxmlformats.org/officeDocument/2006/relationships/hyperlink" Target="https://www.moex.com/n101468" TargetMode="External"/><Relationship Id="rId151" Type="http://schemas.openxmlformats.org/officeDocument/2006/relationships/hyperlink" Target="https://www.moex.com/n101457" TargetMode="External"/><Relationship Id="rId152" Type="http://schemas.openxmlformats.org/officeDocument/2006/relationships/hyperlink" Target="https://www.moex.com/n101457" TargetMode="External"/><Relationship Id="rId153" Type="http://schemas.openxmlformats.org/officeDocument/2006/relationships/hyperlink" Target="https://www.moex.com/n101454" TargetMode="External"/><Relationship Id="rId154" Type="http://schemas.openxmlformats.org/officeDocument/2006/relationships/hyperlink" Target="https://www.moex.com/n101454" TargetMode="External"/><Relationship Id="rId155" Type="http://schemas.openxmlformats.org/officeDocument/2006/relationships/hyperlink" Target="https://www.moex.com/n101451" TargetMode="External"/><Relationship Id="rId156" Type="http://schemas.openxmlformats.org/officeDocument/2006/relationships/hyperlink" Target="https://www.moex.com/n101451" TargetMode="External"/><Relationship Id="rId157" Type="http://schemas.openxmlformats.org/officeDocument/2006/relationships/hyperlink" Target="https://www.moex.com/n101450" TargetMode="External"/><Relationship Id="rId158" Type="http://schemas.openxmlformats.org/officeDocument/2006/relationships/hyperlink" Target="https://www.moex.com/n101450" TargetMode="External"/><Relationship Id="rId15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1" Type="http://schemas.openxmlformats.org/officeDocument/2006/relationships/hyperlink" Target="https://news.whoosh-bike.ru/soobshchaet_o_zavershenii_pervogo_etapa_razmeshcheniya_obligacij_i_prodlenii" TargetMode="External"/><Relationship Id="rId162" Type="http://schemas.openxmlformats.org/officeDocument/2006/relationships/hyperlink" Target="https://news.whoosh-bike.ru/soobshchaet_o_zavershenii_pervogo_etapa_razmeshcheniya_obligacij_i_prodlenii" TargetMode="External"/><Relationship Id="rId163" Type="http://schemas.openxmlformats.org/officeDocument/2006/relationships/hyperlink" Target="https://ir.yandex.ru/press-releases?year=2026&amp;id=19-06-2026-03" TargetMode="External"/><Relationship Id="rId164" Type="http://schemas.openxmlformats.org/officeDocument/2006/relationships/hyperlink" Target="https://ir.yandex.ru/press-releases?year=2026&amp;id=19-06-2026-03" TargetMode="External"/><Relationship Id="rId165" Type="http://schemas.openxmlformats.org/officeDocument/2006/relationships/hyperlink" Target="https://www.finam.ru/publications/item/yandeks-vnov-vykhodit-na-dolgovoy-rynok-razbor-dvoynogo-razmeshcheniya-obligatsiy-20260608-1729/" TargetMode="External"/><Relationship Id="rId16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67" Type="http://schemas.openxmlformats.org/officeDocument/2006/relationships/hyperlink" Target="https://investfuture.ru/articles/yandeks-razmeschaet-birzhevye-obligatsii-na-30-0-mlrd-rub-s-kuponami-k-klyuchevoy-stavke-1180967705" TargetMode="External"/><Relationship Id="rId16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6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1" Type="http://schemas.openxmlformats.org/officeDocument/2006/relationships/hyperlink" Target="https://bcs-express.ru/novosti-i-analitika/gref-oproverg-dogovorennost-sbera-o-pokupke-doli-v-ozone" TargetMode="External"/><Relationship Id="rId17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73" Type="http://schemas.openxmlformats.org/officeDocument/2006/relationships/hyperlink" Target="https://sia.ru/?section\=484\&amp;action\=show_news\&amp;id\=16828609" TargetMode="External"/><Relationship Id="rId17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75" Type="http://schemas.openxmlformats.org/officeDocument/2006/relationships/hyperlink" Target="https://rb.ru/news/sber-mozhet-kupit-akcii-v-ozon-na-30-mlrd-investkompaniya-afk-sistema-otricaet-informaciyu-o-prodazhe-doli/" TargetMode="External"/><Relationship Id="rId17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77" Type="http://schemas.openxmlformats.org/officeDocument/2006/relationships/hyperlink" Target="https://alfabank.ru/alfa-investor/posts/t/2af58b47-265b-f111-91c6-0050569e1fd0/" TargetMode="External"/><Relationship Id="rId178" Type="http://schemas.openxmlformats.org/officeDocument/2006/relationships/hyperlink" Target="https://alfabank.ru/alfa-investor/posts/t/2af58b47-265b-f111-91c6-0050569e1fd0/" TargetMode="External"/><Relationship Id="rId179" Type="http://schemas.openxmlformats.org/officeDocument/2006/relationships/hyperlink" Target="https://alfabank.ru/alfa-investor/posts/t/06d3da91-dd5a-f111-91c6-0050569e1fd0/" TargetMode="External"/><Relationship Id="rId180" Type="http://schemas.openxmlformats.org/officeDocument/2006/relationships/hyperlink" Target="https://alfabank.ru/alfa-investor/posts/t/06d3da91-dd5a-f111-91c6-0050569e1fd0/" TargetMode="External"/><Relationship Id="rId18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8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8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1" Type="http://schemas.openxmlformats.org/officeDocument/2006/relationships/hyperlink" Target="https://ir.yandex.ru/press-releases?year=2026&amp;id=02-06-2026-04" TargetMode="External"/><Relationship Id="rId192" Type="http://schemas.openxmlformats.org/officeDocument/2006/relationships/hyperlink" Target="https://ir.yandex.ru/press-releases?year=2026&amp;id=02-06-2026-04" TargetMode="External"/><Relationship Id="rId193" Type="http://schemas.openxmlformats.org/officeDocument/2006/relationships/hyperlink" Target="https://bcs-express.ru/novosti-i-analitika/t-tekhnologii-zakryli-sdelku-po-pokupke-avto-ru-u-iandeksa" TargetMode="External"/><Relationship Id="rId19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95" Type="http://schemas.openxmlformats.org/officeDocument/2006/relationships/hyperlink" Target="https://www.finam.ru/publications/item/yandeks-prodal-avtoru-t-tekhnologiyam-20260602-1802/" TargetMode="External"/><Relationship Id="rId19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97" Type="http://schemas.openxmlformats.org/officeDocument/2006/relationships/hyperlink" Target="https://www.finam.ru/publications/item/yandeks-stal-osnovnym-pretendentom-na-pokupku-ostrovka-20260528-0928/" TargetMode="External"/><Relationship Id="rId19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99" Type="http://schemas.openxmlformats.org/officeDocument/2006/relationships/hyperlink" Target="https://www.finam.ru/publications/item/posledniy-den-pokupki-aktsiy-ozona-pod-dividendy-25-maya-20260525-0652/" TargetMode="External"/><Relationship Id="rId20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01" Type="http://schemas.openxmlformats.org/officeDocument/2006/relationships/hyperlink" Target="https://bcs-express.ru/novosti-i-analitika/aktsionery-ozon-utverdili-final-nye-dividendy-za-2025" TargetMode="External"/><Relationship Id="rId20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0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0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0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1" Type="http://schemas.openxmlformats.org/officeDocument/2006/relationships/hyperlink" Target="https://www.finmarket.ru/analytics/6616209" TargetMode="External"/><Relationship Id="rId21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13" Type="http://schemas.openxmlformats.org/officeDocument/2006/relationships/hyperlink" Target="https://bcs-express.ru/novosti-i-analitika/iandeks-odobril-vykup-aktsii-na-50-mlrd-rublei" TargetMode="External"/><Relationship Id="rId21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15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16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17" Type="http://schemas.openxmlformats.org/officeDocument/2006/relationships/hyperlink" Target="https://sbercib.ru/publication/rezultati-ozon-dom-rf-dividendi-yandeksa-i-tatnefti-i-drugie-novosti-nedeli" TargetMode="External"/><Relationship Id="rId21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19" Type="http://schemas.openxmlformats.org/officeDocument/2006/relationships/hyperlink" Target="https://www.vedomosti.ru/finance/news/2026/04/27/1193355-putin-isklyuchil" TargetMode="External"/><Relationship Id="rId22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21" Type="http://schemas.openxmlformats.org/officeDocument/2006/relationships/hyperlink" Target="https://bcs-express.ru/novosti-i-analitika/ozon-bank-iskliuchen-iz-perechnia-bankov-s-aktsiiami-kotorykh-zapreshcheny-sdelki" TargetMode="External"/><Relationship Id="rId22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23" Type="http://schemas.openxmlformats.org/officeDocument/2006/relationships/hyperlink" Target="https://glavportal.com/news/putin-razreshil-sdelki-s-akciyami-ozon-banka" TargetMode="External"/><Relationship Id="rId22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25" Type="http://schemas.openxmlformats.org/officeDocument/2006/relationships/hyperlink" Target="https://investfuture.ru/articles/putin-snyal-zapret-na-sdelki-s-aktsiyami-ozon-banka-v-rossii-1178931397" TargetMode="External"/><Relationship Id="rId22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2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9" Type="http://schemas.openxmlformats.org/officeDocument/2006/relationships/hyperlink" Target="https://realnoevremya.ru/news/394463-s-ozon-banka-snyali-ogranicheniya-na-sdelki-s-akciyami-rasporyazhenie-putina" TargetMode="External"/><Relationship Id="rId23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31" Type="http://schemas.openxmlformats.org/officeDocument/2006/relationships/hyperlink" Target="https://bosfera.ru/press-release/ozon-bank-isklyuchen-iz-spiska-s-zapretom-na-sdelki-s-akciyami-i-dolyami" TargetMode="External"/><Relationship Id="rId23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33" Type="http://schemas.openxmlformats.org/officeDocument/2006/relationships/hyperlink" Target="https://alfabank.ru/alfa-investor/t/obligatsii-ozona-zarabotay-na-marketpleyse/" TargetMode="External"/><Relationship Id="rId23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35" Type="http://schemas.openxmlformats.org/officeDocument/2006/relationships/hyperlink" Target="https://expert.ru" TargetMode="External"/><Relationship Id="rId236" Type="http://schemas.openxmlformats.org/officeDocument/2006/relationships/hyperlink" Target="https://expert.ru/news/aktsionery-yandeksa-utverdili-dividendy-za-2025-god-v-razmere-110-rubley" TargetMode="External"/><Relationship Id="rId23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0" Type="http://schemas.openxmlformats.org/officeDocument/2006/relationships/hyperlink" Target="https://rb.ru/news/yandeks-odobril-dividendy-po-itogam-2025-go-vyplaty-sostavyat-110-za-akciyu-pochti-na-40-vyshe-chem-v-proshlom-godu/" TargetMode="External"/><Relationship Id="rId24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42" Type="http://schemas.openxmlformats.org/officeDocument/2006/relationships/hyperlink" Target="https://abn.agency/2026/04/20/ozon-sokratil-obem-obligaczionnogo-razmeshheniya-do-odnogo-vypuska/" TargetMode="External"/><Relationship Id="rId24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44" Type="http://schemas.openxmlformats.org/officeDocument/2006/relationships/hyperlink" Target="https://rb.ru/news/vk-prodal-25-akcij-tochka-banka-sdelku-ocenili-v-212-mlrd-vdvoe-vyshe-iznachalnoj-stoimosti-bumag/" TargetMode="External"/><Relationship Id="rId24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46" Type="http://schemas.openxmlformats.org/officeDocument/2006/relationships/hyperlink" Target="https://www.vedomosti.ru/finance/news/2026/04/16/1190812-vk-prodala-dolyu" TargetMode="External"/><Relationship Id="rId24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48" Type="http://schemas.openxmlformats.org/officeDocument/2006/relationships/hyperlink" Target="https://www.cnews.ru/news/top/2026-04-16_vk_prodal_svoyu_dolyu_v_virtualnom" TargetMode="External"/><Relationship Id="rId24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5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2" Type="http://schemas.openxmlformats.org/officeDocument/2006/relationships/hyperlink" Target="https://www.finam.ru/publications/item/dvoynoe-razmeshchenie-obligatsiy-vk-chego-zhdat-chastnym-investoram-20260410-1829/" TargetMode="External"/><Relationship Id="rId25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54" Type="http://schemas.openxmlformats.org/officeDocument/2006/relationships/hyperlink" Target="https://alfabank.ru/alfa-investor/posts/t/1238104e-fa34-f111-91c8-0050569ebac3/" TargetMode="External"/><Relationship Id="rId25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56" Type="http://schemas.openxmlformats.org/officeDocument/2006/relationships/hyperlink" Target="https://expert.ru" TargetMode="External"/><Relationship Id="rId257" Type="http://schemas.openxmlformats.org/officeDocument/2006/relationships/hyperlink" Target="https://expert.ru/news/ozon-anonsiroval-razmeshchenie-obligatsiy-na-15-mlrd-rubley" TargetMode="External"/><Relationship Id="rId25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59" Type="http://schemas.openxmlformats.org/officeDocument/2006/relationships/hyperlink" Target="https://bcs-express.ru/novosti-i-analitika/ozon-planiruet-debiutnoe-razmeshchenie-birzhevykh-obligatsii" TargetMode="External"/><Relationship Id="rId26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61" Type="http://schemas.openxmlformats.org/officeDocument/2006/relationships/hyperlink" Target="https://vk.company/investors/info/12271/" TargetMode="External"/><Relationship Id="rId262" Type="http://schemas.openxmlformats.org/officeDocument/2006/relationships/hyperlink" Target="https://vk.company/investors/info/12271/" TargetMode="External"/><Relationship Id="rId263" Type="http://schemas.openxmlformats.org/officeDocument/2006/relationships/hyperlink" Target="https://www.finam.ru/publications/item/vk-razmeshchaet-obligatsii-kak-eto-otrazitsya-na-investorakh-v-aktsii-20260330-1740/" TargetMode="External"/><Relationship Id="rId264" Type="http://schemas.openxmlformats.org/officeDocument/2006/relationships/hyperlink" Target="https://www.finam.ru/publications/item/vk-razmeshchaet-obligatsii-kak-eto-otrazitsya-na-investorakh-v-aktsii-20260330-1740/" TargetMode="External"/><Relationship Id="rId265" Type="http://schemas.openxmlformats.org/officeDocument/2006/relationships/hyperlink" Target="https://selectel.ru/about/newsroom/news/selectel-razmestil-novyj-vypusk-obligaczij-i-privlek-7-milliardov-rublej-na-razvitie-biznesa/" TargetMode="External"/><Relationship Id="rId266" Type="http://schemas.openxmlformats.org/officeDocument/2006/relationships/hyperlink" Target="https://selectel.ru/about/newsroom/news/selectel-razmestil-novyj-vypusk-obligaczij-i-privlek-7-milliardov-rublej-na-razvitie-biznesa/" TargetMode="External"/><Relationship Id="rId267" Type="http://schemas.openxmlformats.org/officeDocument/2006/relationships/hyperlink" Target="https://selectel.ru/about/newsroom/news/selectel-uvelichil-obem-novogo-vypuska-obligaczij-do-6-mlrd-rublej-na-fone-vysokogo-sprosa/" TargetMode="External"/><Relationship Id="rId268" Type="http://schemas.openxmlformats.org/officeDocument/2006/relationships/hyperlink" Target="https://selectel.ru/about/newsroom/news/selectel-uvelichil-obem-novogo-vypuska-obligaczij-do-6-mlrd-rublej-na-fone-vysokogo-sprosa/" TargetMode="External"/><Relationship Id="rId269" Type="http://schemas.openxmlformats.org/officeDocument/2006/relationships/hyperlink" Target="https://ir.yandex.ru/press-releases?year=2025&amp;id=01-13-03-2025" TargetMode="External"/><Relationship Id="rId270" Type="http://schemas.openxmlformats.org/officeDocument/2006/relationships/hyperlink" Target="https://ir.yandex.ru/press-releases?year=2025&amp;id=01-13-03-2025" TargetMode="External"/><Relationship Id="rId271" Type="http://schemas.openxmlformats.org/officeDocument/2006/relationships/hyperlink" Target="https://selectel.ru/about/newsroom/news/selectel-soobshchaet-o-priobretenii-oblachnogo-provajdera-servers-ru/" TargetMode="External"/><Relationship Id="rId272" Type="http://schemas.openxmlformats.org/officeDocument/2006/relationships/hyperlink" Target="https://selectel.ru/about/newsroom/news/selectel-soobshchaet-o-priobretenii-oblachnogo-provajdera-servers-ru/" TargetMode="External"/><Relationship Id="rId273" Type="http://schemas.openxmlformats.org/officeDocument/2006/relationships/hyperlink" Target="https://selectel.ru/about/newsroom/news/selectel-planiruet-razmeshhenie-obligaczij-obemom-3-milliarda-rublej-2/" TargetMode="External"/><Relationship Id="rId274" Type="http://schemas.openxmlformats.org/officeDocument/2006/relationships/hyperlink" Target="https://selectel.ru/about/newsroom/news/selectel-planiruet-razmeshhenie-obligaczij-obemom-3-milliarda-rublej-2/" TargetMode="External"/><Relationship Id="rId27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7" Type="http://schemas.openxmlformats.org/officeDocument/2006/relationships/hyperlink" Target="https://selectel.ru/about/newsroom/news/selectel-planiruet-razmeshhenie-obligaczij-obemom-3-milliarda-rublej/" TargetMode="External"/><Relationship Id="rId278" Type="http://schemas.openxmlformats.org/officeDocument/2006/relationships/hyperlink" Target="https://selectel.ru/about/newsroom/news/selectel-planiruet-razmeshhenie-obligaczij-obemom-3-milliarda-rublej/" TargetMode="External"/><Relationship Id="rId279" Type="http://schemas.openxmlformats.org/officeDocument/2006/relationships/hyperlink" Target="https://selectel.ru/about/newsroom/news/investicionnyj-fond-tier-5-priobrel-25-provajdera-it-infrastruktury-selectel/" TargetMode="External"/><Relationship Id="rId280" Type="http://schemas.openxmlformats.org/officeDocument/2006/relationships/hyperlink" Target="https://selectel.ru/about/newsroom/news/investicionnyj-fond-tier-5-priobrel-25-provajdera-it-infrastruktury-selectel/" TargetMode="External"/><Relationship Id="rId28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3" Type="http://schemas.openxmlformats.org/officeDocument/2006/relationships/hyperlink" Target="https://www.sec.gov/Archives/edgar/data/1353283/000135328323000011/splk-20230131.htm" TargetMode="External"/><Relationship Id="rId284" Type="http://schemas.openxmlformats.org/officeDocument/2006/relationships/hyperlink" Target="https://www.sec.gov/Archives/edgar/data/1353283/000135328323000011/splk-20230131.htm" TargetMode="External"/><Relationship Id="rId285" Type="http://schemas.openxmlformats.org/officeDocument/2006/relationships/hyperlink" Target="https://investors.broadcom.com/news-releases/news-release-details/broadcom-acquire-vmware-approximately-61-billion-cash-and-stock" TargetMode="External"/><Relationship Id="rId286" Type="http://schemas.openxmlformats.org/officeDocument/2006/relationships/hyperlink" Target="https://investors.broadcom.com/news-releases/news-release-details/broadcom-acquire-vmware-approximately-61-billion-cash-and-stock" TargetMode="External"/><Relationship Id="rId287" Type="http://schemas.openxmlformats.org/officeDocument/2006/relationships/hyperlink" Target="https://www.sec.gov/Archives/edgar/data/1124610/000112461022000009/vmw-20220128.htm" TargetMode="External"/><Relationship Id="rId288" Type="http://schemas.openxmlformats.org/officeDocument/2006/relationships/hyperlink" Target="https://www.sec.gov/Archives/edgar/data/1124610/000112461022000009/vmw-20220128.htm" TargetMode="External"/><Relationship Id="rId289" Type="http://schemas.openxmlformats.org/officeDocument/2006/relationships/hyperlink" Target="https://www.anaplan.com/news/thoma-bravo-completes-acquisition-of-anaplan/" TargetMode="External"/><Relationship Id="rId290" Type="http://schemas.openxmlformats.org/officeDocument/2006/relationships/hyperlink" Target="https://www.anaplan.com/news/thoma-bravo-completes-acquisition-of-anaplan/" TargetMode="External"/><Relationship Id="rId291" Type="http://schemas.openxmlformats.org/officeDocument/2006/relationships/hyperlink" Target="https://www.sec.gov/Archives/edgar/data/1540755/000154075522000018/plan-20220131.htm" TargetMode="External"/><Relationship Id="rId292" Type="http://schemas.openxmlformats.org/officeDocument/2006/relationships/hyperlink" Target="https://www.sec.gov/Archives/edgar/data/1540755/000154075522000018/plan-20220131.htm" TargetMode="External"/><Relationship Id="rId293" Type="http://schemas.openxmlformats.org/officeDocument/2006/relationships/hyperlink" Target="https://www.sec.gov/Archives/edgar/data/877890/000087789022000019/ctxs-20211231.htm" TargetMode="External"/><Relationship Id="rId294" Type="http://schemas.openxmlformats.org/officeDocument/2006/relationships/hyperlink" Target="https://www.sec.gov/Archives/edgar/data/877890/000087789022000019/ctxs-20211231.htm" TargetMode="External"/><Relationship Id="rId29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7" Type="http://schemas.openxmlformats.org/officeDocument/2006/relationships/hyperlink" Target="https://www.sec.gov/Archives/edgar/data/718877/000162828021002828/atvi-20201231.htm" TargetMode="External"/><Relationship Id="rId298" Type="http://schemas.openxmlformats.org/officeDocument/2006/relationships/hyperlink" Target="https://www.sec.gov/Archives/edgar/data/718877/000162828021002828/atvi-20201231.htm" TargetMode="External"/><Relationship Id="rId299" Type="http://schemas.openxmlformats.org/officeDocument/2006/relationships/hyperlink" Target="https://www.salesforce.com/news/press-releases/2020/12/01/salesforce-definitive-agreement-update/" TargetMode="External"/><Relationship Id="rId300" Type="http://schemas.openxmlformats.org/officeDocument/2006/relationships/hyperlink" Target="https://www.salesforce.com/news/press-releases/2020/12/01/salesforce-definitive-agreement-update/" TargetMode="External"/><Relationship Id="rId301" Type="http://schemas.openxmlformats.org/officeDocument/2006/relationships/hyperlink" Target="https://www.sec.gov/Archives/edgar/data/1764925/000176492520000251/a1312010-k.htm" TargetMode="External"/><Relationship Id="rId302" Type="http://schemas.openxmlformats.org/officeDocument/2006/relationships/hyperlink" Target="https://www.sec.gov/Archives/edgar/data/1764925/000176492520000251/a1312010-k.htm" TargetMode="External"/><Relationship Id="rId303" Type="http://schemas.openxmlformats.org/officeDocument/2006/relationships/hyperlink" Target="https://ir.amd.com/news-events/press-releases/detail/977/amd-to-acquire-xilinx-creating-the-industrys-high-performance-computing-leader" TargetMode="External"/><Relationship Id="rId304" Type="http://schemas.openxmlformats.org/officeDocument/2006/relationships/hyperlink" Target="https://ir.amd.com/news-events/press-releases/detail/977/amd-to-acquire-xilinx-creating-the-industrys-high-performance-computing-leader" TargetMode="External"/><Relationship Id="rId305" Type="http://schemas.openxmlformats.org/officeDocument/2006/relationships/hyperlink" Target="https://www.sec.gov/Archives/edgar/data/743988/000074398820000020/xlnx328202010k.htm" TargetMode="External"/><Relationship Id="rId306" Type="http://schemas.openxmlformats.org/officeDocument/2006/relationships/hyperlink" Target="https://www.sec.gov/Archives/edgar/data/743988/000074398820000020/xlnx328202010k.htm" TargetMode="External"/><Relationship Id="rId307" Type="http://schemas.openxmlformats.org/officeDocument/2006/relationships/hyperlink" Target="https://www.salesforce.com/news/press-releases/2019/06/10/salesforce-signs-definitive-agreement-to-acquire-tableau/" TargetMode="External"/><Relationship Id="rId308" Type="http://schemas.openxmlformats.org/officeDocument/2006/relationships/hyperlink" Target="https://www.salesforce.com/news/press-releases/2019/06/10/salesforce-signs-definitive-agreement-to-acquire-tableau/" TargetMode="External"/><Relationship Id="rId309" Type="http://schemas.openxmlformats.org/officeDocument/2006/relationships/hyperlink" Target="https://www.sec.gov/Archives/edgar/data/1303652/000130365219000007/a10k2018.htm" TargetMode="External"/><Relationship Id="rId310" Type="http://schemas.openxmlformats.org/officeDocument/2006/relationships/hyperlink" Target="https://www.sec.gov/Archives/edgar/data/1303652/000130365219000007/a10k2018.htm" TargetMode="External"/><Relationship Id="rId31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3" Type="http://schemas.openxmlformats.org/officeDocument/2006/relationships/hyperlink" Target="https://www.sec.gov/Archives/edgar/data/1087423/000108742318000010/rht-10kq4fy18.htm" TargetMode="External"/><Relationship Id="rId314" Type="http://schemas.openxmlformats.org/officeDocument/2006/relationships/hyperlink" Target="https://www.sec.gov/Archives/edgar/data/1087423/000108742318000010/rht-10kq4fy18.htm" TargetMode="External"/><Relationship Id="rId315" Type="http://schemas.openxmlformats.org/officeDocument/2006/relationships/hyperlink" Target="https://news.microsoft.com/source/2016/06/13/microsoft-to-acquire-linkedin/" TargetMode="External"/><Relationship Id="rId316" Type="http://schemas.openxmlformats.org/officeDocument/2006/relationships/hyperlink" Target="https://news.microsoft.com/source/2016/06/13/microsoft-to-acquire-linkedin/" TargetMode="External"/><Relationship Id="rId317" Type="http://schemas.openxmlformats.org/officeDocument/2006/relationships/hyperlink" Target="https://www.sec.gov/Archives/edgar/data/1271024/000127102416000035/a20151231-10xkdocument.htm" TargetMode="External"/><Relationship Id="rId318" Type="http://schemas.openxmlformats.org/officeDocument/2006/relationships/hyperlink" Target="https://www.sec.gov/Archives/edgar/data/1271024/000127102416000035/a20151231-10xkdocument.htm" TargetMode="External"/><Relationship Id="rId31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120</v>
      </c>
      <c r="B7" s="5">
        <v>35</v>
      </c>
      <c r="C7" s="5">
        <v>10</v>
      </c>
      <c r="D7" s="5">
        <v>75</v>
      </c>
      <c r="E7" s="5">
        <v>17</v>
      </c>
      <c r="F7" s="5">
        <v>76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46220</v>
      </c>
      <c r="C7" s="9" t="s">
        <v>6</v>
      </c>
      <c r="D7" s="9" t="s">
        <v>98</v>
      </c>
      <c r="E7" s="9" t="s">
        <v>40</v>
      </c>
      <c r="F7" s="9" t="s">
        <v>34</v>
      </c>
      <c r="G7" s="9" t="s">
        <v>33</v>
      </c>
      <c r="H7" s="9" t="s">
        <v>33</v>
      </c>
      <c r="I7" s="9" t="s">
        <v>99</v>
      </c>
      <c r="J7" s="9" t="s">
        <v>34</v>
      </c>
      <c r="M7" s="9" t="s">
        <v>34</v>
      </c>
      <c r="O7" s="9" t="s">
        <v>33</v>
      </c>
      <c r="P7" s="9" t="s">
        <v>34</v>
      </c>
      <c r="Q7" s="9" t="s">
        <v>100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30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46219</v>
      </c>
      <c r="C8" s="9" t="s">
        <v>4</v>
      </c>
      <c r="D8" s="9" t="s">
        <v>98</v>
      </c>
      <c r="E8" s="9" t="s">
        <v>108</v>
      </c>
      <c r="F8" s="9" t="s">
        <v>109</v>
      </c>
      <c r="G8" s="9" t="s">
        <v>34</v>
      </c>
      <c r="H8" s="9" t="s">
        <v>110</v>
      </c>
      <c r="I8" s="9" t="s">
        <v>99</v>
      </c>
      <c r="J8" s="9" t="s">
        <v>34</v>
      </c>
      <c r="M8" s="9" t="s">
        <v>34</v>
      </c>
      <c r="O8" s="9" t="s">
        <v>34</v>
      </c>
      <c r="P8" s="9" t="s">
        <v>34</v>
      </c>
      <c r="Q8" s="9" t="s">
        <v>111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35</v>
      </c>
      <c r="AO8" s="9">
        <v>60</v>
      </c>
      <c r="AP8" s="9" t="s">
        <v>103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46219</v>
      </c>
      <c r="C9" s="9" t="s">
        <v>6</v>
      </c>
      <c r="D9" s="9" t="s">
        <v>98</v>
      </c>
      <c r="E9" s="9" t="s">
        <v>108</v>
      </c>
      <c r="F9" s="9" t="s">
        <v>34</v>
      </c>
      <c r="G9" s="9" t="s">
        <v>33</v>
      </c>
      <c r="H9" s="9" t="s">
        <v>33</v>
      </c>
      <c r="I9" s="9" t="s">
        <v>99</v>
      </c>
      <c r="J9" s="9" t="s">
        <v>116</v>
      </c>
      <c r="K9" s="10">
        <v>1000000000</v>
      </c>
      <c r="M9" s="9" t="s">
        <v>38</v>
      </c>
      <c r="O9" s="9" t="s">
        <v>33</v>
      </c>
      <c r="P9" s="9" t="s">
        <v>34</v>
      </c>
      <c r="Q9" s="9" t="s">
        <v>100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50</v>
      </c>
      <c r="AP9" s="9" t="s">
        <v>103</v>
      </c>
      <c r="AQ9" s="9">
        <v>1</v>
      </c>
      <c r="AR9" s="9" t="s">
        <v>117</v>
      </c>
      <c r="AS9" s="9" t="s">
        <v>118</v>
      </c>
      <c r="AT9" s="9" t="s">
        <v>119</v>
      </c>
    </row>
    <row r="10" spans="1:46">
      <c r="A10" s="9" t="s">
        <v>120</v>
      </c>
      <c r="B10" s="8">
        <v>46219</v>
      </c>
      <c r="C10" s="9" t="s">
        <v>4</v>
      </c>
      <c r="D10" s="9" t="s">
        <v>98</v>
      </c>
      <c r="E10" s="9" t="s">
        <v>108</v>
      </c>
      <c r="F10" s="9" t="s">
        <v>34</v>
      </c>
      <c r="G10" s="9" t="s">
        <v>34</v>
      </c>
      <c r="H10" s="9" t="s">
        <v>34</v>
      </c>
      <c r="I10" s="9" t="s">
        <v>99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111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35</v>
      </c>
      <c r="AO10" s="9">
        <v>40</v>
      </c>
      <c r="AP10" s="9" t="s">
        <v>103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46218</v>
      </c>
      <c r="C11" s="9" t="s">
        <v>6</v>
      </c>
      <c r="D11" s="9" t="s">
        <v>125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99</v>
      </c>
      <c r="J11" s="9" t="s">
        <v>116</v>
      </c>
      <c r="M11" s="9" t="s">
        <v>34</v>
      </c>
      <c r="O11" s="9" t="s">
        <v>33</v>
      </c>
      <c r="P11" s="9" t="s">
        <v>34</v>
      </c>
      <c r="Q11" s="9" t="s">
        <v>100</v>
      </c>
      <c r="R11" s="9" t="s">
        <v>34</v>
      </c>
      <c r="S11" s="9" t="s">
        <v>126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35</v>
      </c>
      <c r="AO11" s="9">
        <v>55</v>
      </c>
      <c r="AP11" s="9" t="s">
        <v>127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46218</v>
      </c>
      <c r="C12" s="9" t="s">
        <v>4</v>
      </c>
      <c r="D12" s="9" t="s">
        <v>98</v>
      </c>
      <c r="E12" s="9" t="s">
        <v>108</v>
      </c>
      <c r="F12" s="9" t="s">
        <v>34</v>
      </c>
      <c r="G12" s="9" t="s">
        <v>34</v>
      </c>
      <c r="H12" s="9" t="s">
        <v>34</v>
      </c>
      <c r="I12" s="9" t="s">
        <v>99</v>
      </c>
      <c r="J12" s="9" t="s">
        <v>34</v>
      </c>
      <c r="K12" s="10">
        <v>1000000000</v>
      </c>
      <c r="M12" s="9" t="s">
        <v>132</v>
      </c>
      <c r="O12" s="9" t="s">
        <v>34</v>
      </c>
      <c r="P12" s="9" t="s">
        <v>34</v>
      </c>
      <c r="Q12" s="9" t="s">
        <v>111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102</v>
      </c>
      <c r="AO12" s="9">
        <v>0</v>
      </c>
      <c r="AP12" s="9" t="s">
        <v>103</v>
      </c>
      <c r="AQ12" s="9">
        <v>3</v>
      </c>
      <c r="AR12" s="9" t="s">
        <v>133</v>
      </c>
      <c r="AS12" s="9" t="s">
        <v>134</v>
      </c>
      <c r="AT12" s="9" t="s">
        <v>135</v>
      </c>
    </row>
    <row r="13" spans="1:46">
      <c r="A13" s="9" t="s">
        <v>136</v>
      </c>
      <c r="B13" s="8">
        <v>46218</v>
      </c>
      <c r="C13" s="9" t="s">
        <v>5</v>
      </c>
      <c r="D13" s="9" t="s">
        <v>98</v>
      </c>
      <c r="E13" s="9" t="s">
        <v>108</v>
      </c>
      <c r="F13" s="9" t="s">
        <v>137</v>
      </c>
      <c r="G13" s="9" t="s">
        <v>33</v>
      </c>
      <c r="H13" s="9" t="s">
        <v>33</v>
      </c>
      <c r="I13" s="9" t="s">
        <v>9</v>
      </c>
      <c r="J13" s="9" t="s">
        <v>116</v>
      </c>
      <c r="K13" s="10">
        <v>100000000000</v>
      </c>
      <c r="M13" s="9" t="s">
        <v>38</v>
      </c>
      <c r="O13" s="9" t="s">
        <v>33</v>
      </c>
      <c r="P13" s="9" t="s">
        <v>34</v>
      </c>
      <c r="Q13" s="9" t="s">
        <v>138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34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35</v>
      </c>
      <c r="AO13" s="9">
        <v>75</v>
      </c>
      <c r="AP13" s="9" t="s">
        <v>103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46218</v>
      </c>
      <c r="C14" s="9" t="s">
        <v>5</v>
      </c>
      <c r="D14" s="9" t="s">
        <v>98</v>
      </c>
      <c r="E14" s="9" t="s">
        <v>108</v>
      </c>
      <c r="F14" s="9" t="s">
        <v>143</v>
      </c>
      <c r="G14" s="9" t="s">
        <v>33</v>
      </c>
      <c r="H14" s="9" t="s">
        <v>33</v>
      </c>
      <c r="I14" s="9" t="s">
        <v>99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144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34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102</v>
      </c>
      <c r="AO14" s="9">
        <v>15</v>
      </c>
      <c r="AP14" s="9" t="s">
        <v>103</v>
      </c>
      <c r="AQ14" s="9">
        <v>1</v>
      </c>
      <c r="AR14" s="9" t="s">
        <v>139</v>
      </c>
      <c r="AS14" s="9" t="s">
        <v>145</v>
      </c>
      <c r="AT14" s="9" t="s">
        <v>146</v>
      </c>
    </row>
    <row r="15" spans="1:46">
      <c r="A15" s="9" t="s">
        <v>147</v>
      </c>
      <c r="B15" s="8">
        <v>46218</v>
      </c>
      <c r="C15" s="9" t="s">
        <v>4</v>
      </c>
      <c r="D15" s="9" t="s">
        <v>98</v>
      </c>
      <c r="E15" s="9" t="s">
        <v>108</v>
      </c>
      <c r="F15" s="9" t="s">
        <v>34</v>
      </c>
      <c r="G15" s="9" t="s">
        <v>34</v>
      </c>
      <c r="H15" s="9" t="s">
        <v>34</v>
      </c>
      <c r="I15" s="9" t="s">
        <v>99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111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102</v>
      </c>
      <c r="AO15" s="9">
        <v>32</v>
      </c>
      <c r="AP15" s="9" t="s">
        <v>103</v>
      </c>
      <c r="AQ15" s="9">
        <v>1</v>
      </c>
      <c r="AR15" s="9" t="s">
        <v>148</v>
      </c>
      <c r="AS15" s="9" t="s">
        <v>149</v>
      </c>
      <c r="AT15" s="9" t="s">
        <v>150</v>
      </c>
    </row>
    <row r="16" spans="1:46">
      <c r="A16" s="9" t="s">
        <v>151</v>
      </c>
      <c r="B16" s="8">
        <v>46218</v>
      </c>
      <c r="C16" s="9" t="s">
        <v>6</v>
      </c>
      <c r="D16" s="9" t="s">
        <v>98</v>
      </c>
      <c r="E16" s="9" t="s">
        <v>108</v>
      </c>
      <c r="F16" s="9" t="s">
        <v>152</v>
      </c>
      <c r="G16" s="9" t="s">
        <v>33</v>
      </c>
      <c r="H16" s="9" t="s">
        <v>33</v>
      </c>
      <c r="I16" s="9" t="s">
        <v>99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100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35</v>
      </c>
      <c r="AO16" s="9">
        <v>55</v>
      </c>
      <c r="AP16" s="9" t="s">
        <v>103</v>
      </c>
      <c r="AQ16" s="9">
        <v>1</v>
      </c>
      <c r="AR16" s="9" t="s">
        <v>104</v>
      </c>
      <c r="AS16" s="9" t="s">
        <v>153</v>
      </c>
      <c r="AT16" s="9" t="s">
        <v>154</v>
      </c>
    </row>
    <row r="17" spans="1:46">
      <c r="A17" s="9" t="s">
        <v>155</v>
      </c>
      <c r="B17" s="8">
        <v>46218</v>
      </c>
      <c r="C17" s="9" t="s">
        <v>4</v>
      </c>
      <c r="D17" s="9" t="s">
        <v>98</v>
      </c>
      <c r="E17" s="9" t="s">
        <v>108</v>
      </c>
      <c r="F17" s="9" t="s">
        <v>34</v>
      </c>
      <c r="G17" s="9" t="s">
        <v>34</v>
      </c>
      <c r="H17" s="9" t="s">
        <v>34</v>
      </c>
      <c r="I17" s="9" t="s">
        <v>99</v>
      </c>
      <c r="J17" s="9" t="s">
        <v>34</v>
      </c>
      <c r="K17" s="10">
        <v>1000000000</v>
      </c>
      <c r="M17" s="9" t="s">
        <v>132</v>
      </c>
      <c r="O17" s="9" t="s">
        <v>34</v>
      </c>
      <c r="P17" s="9" t="s">
        <v>34</v>
      </c>
      <c r="Q17" s="9" t="s">
        <v>111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102</v>
      </c>
      <c r="AO17" s="9">
        <v>0</v>
      </c>
      <c r="AP17" s="9" t="s">
        <v>103</v>
      </c>
      <c r="AQ17" s="9">
        <v>1</v>
      </c>
      <c r="AR17" s="9" t="s">
        <v>156</v>
      </c>
      <c r="AS17" s="9" t="s">
        <v>157</v>
      </c>
      <c r="AT17" s="9" t="s">
        <v>158</v>
      </c>
    </row>
    <row r="18" spans="1:46">
      <c r="A18" s="9" t="s">
        <v>159</v>
      </c>
      <c r="B18" s="8">
        <v>46217</v>
      </c>
      <c r="C18" s="9" t="s">
        <v>6</v>
      </c>
      <c r="D18" s="9" t="s">
        <v>125</v>
      </c>
      <c r="E18" s="9" t="s">
        <v>31</v>
      </c>
      <c r="F18" s="9" t="s">
        <v>32</v>
      </c>
      <c r="G18" s="9" t="s">
        <v>33</v>
      </c>
      <c r="H18" s="9" t="s">
        <v>33</v>
      </c>
      <c r="I18" s="9" t="s">
        <v>9</v>
      </c>
      <c r="J18" s="9" t="s">
        <v>116</v>
      </c>
      <c r="M18" s="9" t="s">
        <v>34</v>
      </c>
      <c r="O18" s="9" t="s">
        <v>33</v>
      </c>
      <c r="P18" s="9" t="s">
        <v>34</v>
      </c>
      <c r="Q18" s="9" t="s">
        <v>100</v>
      </c>
      <c r="R18" s="9" t="s">
        <v>34</v>
      </c>
      <c r="S18" s="9" t="s">
        <v>160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35</v>
      </c>
      <c r="AO18" s="9">
        <v>80</v>
      </c>
      <c r="AP18" s="9" t="s">
        <v>127</v>
      </c>
      <c r="AQ18" s="9">
        <v>1</v>
      </c>
      <c r="AR18" s="9" t="s">
        <v>128</v>
      </c>
      <c r="AS18" s="9" t="s">
        <v>161</v>
      </c>
      <c r="AT18" s="9" t="s">
        <v>36</v>
      </c>
    </row>
    <row r="19" spans="1:46">
      <c r="A19" s="9" t="s">
        <v>162</v>
      </c>
      <c r="B19" s="8">
        <v>46217</v>
      </c>
      <c r="C19" s="9" t="s">
        <v>6</v>
      </c>
      <c r="D19" s="9" t="s">
        <v>125</v>
      </c>
      <c r="E19" s="9" t="s">
        <v>31</v>
      </c>
      <c r="F19" s="9" t="s">
        <v>163</v>
      </c>
      <c r="G19" s="9" t="s">
        <v>33</v>
      </c>
      <c r="H19" s="9" t="s">
        <v>33</v>
      </c>
      <c r="I19" s="9" t="s">
        <v>99</v>
      </c>
      <c r="J19" s="9" t="s">
        <v>116</v>
      </c>
      <c r="M19" s="9" t="s">
        <v>34</v>
      </c>
      <c r="O19" s="9" t="s">
        <v>33</v>
      </c>
      <c r="P19" s="9" t="s">
        <v>34</v>
      </c>
      <c r="Q19" s="9" t="s">
        <v>100</v>
      </c>
      <c r="R19" s="9" t="s">
        <v>34</v>
      </c>
      <c r="S19" s="9" t="s">
        <v>164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35</v>
      </c>
      <c r="AO19" s="9">
        <v>40</v>
      </c>
      <c r="AP19" s="9" t="s">
        <v>127</v>
      </c>
      <c r="AQ19" s="9">
        <v>1</v>
      </c>
      <c r="AR19" s="9" t="s">
        <v>128</v>
      </c>
      <c r="AS19" s="9" t="s">
        <v>165</v>
      </c>
      <c r="AT19" s="9" t="s">
        <v>166</v>
      </c>
    </row>
    <row r="20" spans="1:46">
      <c r="A20" s="9" t="s">
        <v>167</v>
      </c>
      <c r="B20" s="8">
        <v>46216</v>
      </c>
      <c r="C20" s="9" t="s">
        <v>6</v>
      </c>
      <c r="D20" s="9" t="s">
        <v>125</v>
      </c>
      <c r="E20" s="9" t="s">
        <v>31</v>
      </c>
      <c r="F20" s="9" t="s">
        <v>37</v>
      </c>
      <c r="G20" s="9" t="s">
        <v>33</v>
      </c>
      <c r="H20" s="9" t="s">
        <v>33</v>
      </c>
      <c r="I20" s="9" t="s">
        <v>168</v>
      </c>
      <c r="J20" s="9" t="s">
        <v>116</v>
      </c>
      <c r="K20" s="10">
        <v>13200000000000</v>
      </c>
      <c r="M20" s="9" t="s">
        <v>38</v>
      </c>
      <c r="O20" s="9" t="s">
        <v>33</v>
      </c>
      <c r="P20" s="9" t="s">
        <v>34</v>
      </c>
      <c r="Q20" s="9" t="s">
        <v>169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39</v>
      </c>
      <c r="AO20" s="9">
        <v>100</v>
      </c>
      <c r="AP20" s="9" t="s">
        <v>127</v>
      </c>
      <c r="AQ20" s="9">
        <v>1</v>
      </c>
      <c r="AR20" s="9" t="s">
        <v>128</v>
      </c>
      <c r="AS20" s="9" t="s">
        <v>170</v>
      </c>
      <c r="AT20" s="9" t="s">
        <v>37</v>
      </c>
    </row>
    <row r="21" spans="1:46">
      <c r="A21" s="9" t="s">
        <v>171</v>
      </c>
      <c r="B21" s="8">
        <v>46213</v>
      </c>
      <c r="C21" s="9" t="s">
        <v>6</v>
      </c>
      <c r="D21" s="9" t="s">
        <v>172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9</v>
      </c>
      <c r="J21" s="9" t="s">
        <v>116</v>
      </c>
      <c r="M21" s="9" t="s">
        <v>34</v>
      </c>
      <c r="O21" s="9" t="s">
        <v>33</v>
      </c>
      <c r="P21" s="9" t="s">
        <v>34</v>
      </c>
      <c r="Q21" s="9" t="s">
        <v>100</v>
      </c>
      <c r="R21" s="9" t="s">
        <v>173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35</v>
      </c>
      <c r="AO21" s="9">
        <v>40</v>
      </c>
      <c r="AP21" s="9" t="s">
        <v>127</v>
      </c>
      <c r="AQ21" s="9">
        <v>1</v>
      </c>
      <c r="AR21" s="9" t="s">
        <v>174</v>
      </c>
      <c r="AS21" s="9" t="s">
        <v>175</v>
      </c>
      <c r="AT21" s="9" t="s">
        <v>176</v>
      </c>
    </row>
    <row r="22" spans="1:46">
      <c r="A22" s="9" t="s">
        <v>177</v>
      </c>
      <c r="B22" s="8">
        <v>46212</v>
      </c>
      <c r="C22" s="9" t="s">
        <v>6</v>
      </c>
      <c r="D22" s="9" t="s">
        <v>172</v>
      </c>
      <c r="E22" s="9" t="s">
        <v>31</v>
      </c>
      <c r="F22" s="9" t="s">
        <v>178</v>
      </c>
      <c r="G22" s="9" t="s">
        <v>33</v>
      </c>
      <c r="H22" s="9" t="s">
        <v>33</v>
      </c>
      <c r="I22" s="9" t="s">
        <v>99</v>
      </c>
      <c r="J22" s="9" t="s">
        <v>116</v>
      </c>
      <c r="M22" s="9" t="s">
        <v>34</v>
      </c>
      <c r="O22" s="9" t="s">
        <v>33</v>
      </c>
      <c r="P22" s="9" t="s">
        <v>34</v>
      </c>
      <c r="Q22" s="9" t="s">
        <v>100</v>
      </c>
      <c r="R22" s="9" t="s">
        <v>179</v>
      </c>
      <c r="S22" s="9" t="s">
        <v>180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35</v>
      </c>
      <c r="AO22" s="9">
        <v>60</v>
      </c>
      <c r="AP22" s="9" t="s">
        <v>127</v>
      </c>
      <c r="AQ22" s="9">
        <v>1</v>
      </c>
      <c r="AR22" s="9" t="s">
        <v>128</v>
      </c>
      <c r="AS22" s="9" t="s">
        <v>181</v>
      </c>
      <c r="AT22" s="9" t="s">
        <v>182</v>
      </c>
    </row>
    <row r="23" spans="1:46">
      <c r="A23" s="9" t="s">
        <v>183</v>
      </c>
      <c r="B23" s="8">
        <v>46211</v>
      </c>
      <c r="C23" s="9" t="s">
        <v>6</v>
      </c>
      <c r="D23" s="9" t="s">
        <v>125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168</v>
      </c>
      <c r="J23" s="9" t="s">
        <v>116</v>
      </c>
      <c r="K23" s="10">
        <v>1100000000000</v>
      </c>
      <c r="M23" s="9" t="s">
        <v>38</v>
      </c>
      <c r="O23" s="9" t="s">
        <v>33</v>
      </c>
      <c r="P23" s="9" t="s">
        <v>34</v>
      </c>
      <c r="Q23" s="9" t="s">
        <v>169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35</v>
      </c>
      <c r="AO23" s="9">
        <v>75</v>
      </c>
      <c r="AP23" s="9" t="s">
        <v>127</v>
      </c>
      <c r="AQ23" s="9">
        <v>1</v>
      </c>
      <c r="AR23" s="9" t="s">
        <v>128</v>
      </c>
      <c r="AS23" s="9" t="s">
        <v>184</v>
      </c>
      <c r="AT23" s="9" t="s">
        <v>185</v>
      </c>
    </row>
    <row r="24" spans="1:46">
      <c r="A24" s="9" t="s">
        <v>186</v>
      </c>
      <c r="B24" s="8">
        <v>46211</v>
      </c>
      <c r="C24" s="9" t="s">
        <v>6</v>
      </c>
      <c r="D24" s="9" t="s">
        <v>125</v>
      </c>
      <c r="E24" s="9" t="s">
        <v>40</v>
      </c>
      <c r="F24" s="9" t="s">
        <v>41</v>
      </c>
      <c r="G24" s="9" t="s">
        <v>33</v>
      </c>
      <c r="H24" s="9" t="s">
        <v>33</v>
      </c>
      <c r="I24" s="9" t="s">
        <v>99</v>
      </c>
      <c r="J24" s="9" t="s">
        <v>116</v>
      </c>
      <c r="K24" s="10">
        <v>7500000000</v>
      </c>
      <c r="M24" s="9" t="s">
        <v>38</v>
      </c>
      <c r="O24" s="9" t="s">
        <v>33</v>
      </c>
      <c r="P24" s="9" t="s">
        <v>34</v>
      </c>
      <c r="Q24" s="9" t="s">
        <v>100</v>
      </c>
      <c r="R24" s="9" t="s">
        <v>34</v>
      </c>
      <c r="S24" s="9" t="s">
        <v>34</v>
      </c>
      <c r="T24" s="11">
        <v>0.16</v>
      </c>
      <c r="U24" s="9" t="s">
        <v>34</v>
      </c>
      <c r="X24" s="9" t="s">
        <v>187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39</v>
      </c>
      <c r="AO24" s="9">
        <v>100</v>
      </c>
      <c r="AP24" s="9" t="s">
        <v>127</v>
      </c>
      <c r="AQ24" s="9">
        <v>1</v>
      </c>
      <c r="AR24" s="9" t="s">
        <v>188</v>
      </c>
      <c r="AS24" s="9" t="s">
        <v>189</v>
      </c>
      <c r="AT24" s="9" t="s">
        <v>42</v>
      </c>
    </row>
    <row r="25" spans="1:46">
      <c r="A25" s="9" t="s">
        <v>190</v>
      </c>
      <c r="B25" s="8">
        <v>46211</v>
      </c>
      <c r="C25" s="9" t="s">
        <v>6</v>
      </c>
      <c r="D25" s="9" t="s">
        <v>98</v>
      </c>
      <c r="E25" s="9" t="s">
        <v>108</v>
      </c>
      <c r="F25" s="9" t="s">
        <v>191</v>
      </c>
      <c r="G25" s="9" t="s">
        <v>33</v>
      </c>
      <c r="H25" s="9" t="s">
        <v>33</v>
      </c>
      <c r="I25" s="9" t="s">
        <v>99</v>
      </c>
      <c r="J25" s="9" t="s">
        <v>116</v>
      </c>
      <c r="K25" s="10">
        <v>25000000000</v>
      </c>
      <c r="M25" s="9" t="s">
        <v>132</v>
      </c>
      <c r="O25" s="9" t="s">
        <v>33</v>
      </c>
      <c r="P25" s="9" t="s">
        <v>34</v>
      </c>
      <c r="Q25" s="9" t="s">
        <v>100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35</v>
      </c>
      <c r="AO25" s="9">
        <v>75</v>
      </c>
      <c r="AP25" s="9" t="s">
        <v>103</v>
      </c>
      <c r="AQ25" s="9">
        <v>1</v>
      </c>
      <c r="AR25" s="9" t="s">
        <v>192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6</v>
      </c>
      <c r="D26" s="9" t="s">
        <v>98</v>
      </c>
      <c r="E26" s="9" t="s">
        <v>108</v>
      </c>
      <c r="F26" s="9" t="s">
        <v>34</v>
      </c>
      <c r="G26" s="9" t="s">
        <v>33</v>
      </c>
      <c r="H26" s="9" t="s">
        <v>33</v>
      </c>
      <c r="I26" s="9" t="s">
        <v>99</v>
      </c>
      <c r="J26" s="9" t="s">
        <v>34</v>
      </c>
      <c r="K26" s="10">
        <v>10000000000</v>
      </c>
      <c r="M26" s="9" t="s">
        <v>34</v>
      </c>
      <c r="O26" s="9" t="s">
        <v>33</v>
      </c>
      <c r="P26" s="9" t="s">
        <v>34</v>
      </c>
      <c r="Q26" s="9" t="s">
        <v>100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35</v>
      </c>
      <c r="AO26" s="9">
        <v>40</v>
      </c>
      <c r="AP26" s="9" t="s">
        <v>103</v>
      </c>
      <c r="AQ26" s="9">
        <v>1</v>
      </c>
      <c r="AR26" s="9" t="s">
        <v>104</v>
      </c>
      <c r="AS26" s="9" t="s">
        <v>196</v>
      </c>
      <c r="AT26" s="9" t="s">
        <v>197</v>
      </c>
    </row>
    <row r="27" spans="1:46">
      <c r="A27" s="9" t="s">
        <v>198</v>
      </c>
      <c r="B27" s="8">
        <v>46211</v>
      </c>
      <c r="C27" s="9" t="s">
        <v>4</v>
      </c>
      <c r="D27" s="9" t="s">
        <v>98</v>
      </c>
      <c r="E27" s="9" t="s">
        <v>108</v>
      </c>
      <c r="F27" s="9" t="s">
        <v>199</v>
      </c>
      <c r="G27" s="9" t="s">
        <v>34</v>
      </c>
      <c r="H27" s="9" t="s">
        <v>200</v>
      </c>
      <c r="I27" s="9" t="s">
        <v>99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111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35</v>
      </c>
      <c r="AO27" s="9">
        <v>60</v>
      </c>
      <c r="AP27" s="9" t="s">
        <v>103</v>
      </c>
      <c r="AQ27" s="9">
        <v>1</v>
      </c>
      <c r="AR27" s="9" t="s">
        <v>201</v>
      </c>
      <c r="AS27" s="9" t="s">
        <v>202</v>
      </c>
      <c r="AT27" s="9" t="s">
        <v>203</v>
      </c>
    </row>
    <row r="28" spans="1:46">
      <c r="A28" s="9" t="s">
        <v>204</v>
      </c>
      <c r="B28" s="8">
        <v>46211</v>
      </c>
      <c r="C28" s="9" t="s">
        <v>6</v>
      </c>
      <c r="D28" s="9" t="s">
        <v>98</v>
      </c>
      <c r="E28" s="9" t="s">
        <v>108</v>
      </c>
      <c r="F28" s="9" t="s">
        <v>205</v>
      </c>
      <c r="G28" s="9" t="s">
        <v>33</v>
      </c>
      <c r="H28" s="9" t="s">
        <v>33</v>
      </c>
      <c r="I28" s="9" t="s">
        <v>99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100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35</v>
      </c>
      <c r="AO28" s="9">
        <v>55</v>
      </c>
      <c r="AP28" s="9" t="s">
        <v>103</v>
      </c>
      <c r="AQ28" s="9">
        <v>1</v>
      </c>
      <c r="AR28" s="9" t="s">
        <v>201</v>
      </c>
      <c r="AS28" s="9" t="s">
        <v>206</v>
      </c>
      <c r="AT28" s="9" t="s">
        <v>207</v>
      </c>
    </row>
    <row r="29" spans="1:46">
      <c r="A29" s="9" t="s">
        <v>208</v>
      </c>
      <c r="B29" s="8">
        <v>46211</v>
      </c>
      <c r="C29" s="9" t="s">
        <v>6</v>
      </c>
      <c r="D29" s="9" t="s">
        <v>98</v>
      </c>
      <c r="E29" s="9" t="s">
        <v>108</v>
      </c>
      <c r="F29" s="9" t="s">
        <v>209</v>
      </c>
      <c r="G29" s="9" t="s">
        <v>33</v>
      </c>
      <c r="H29" s="9" t="s">
        <v>33</v>
      </c>
      <c r="I29" s="9" t="s">
        <v>99</v>
      </c>
      <c r="J29" s="9" t="s">
        <v>116</v>
      </c>
      <c r="K29" s="10">
        <v>7500000000</v>
      </c>
      <c r="M29" s="9" t="s">
        <v>38</v>
      </c>
      <c r="O29" s="9" t="s">
        <v>33</v>
      </c>
      <c r="P29" s="9" t="s">
        <v>34</v>
      </c>
      <c r="Q29" s="9" t="s">
        <v>100</v>
      </c>
      <c r="R29" s="9" t="s">
        <v>34</v>
      </c>
      <c r="S29" s="9" t="s">
        <v>34</v>
      </c>
      <c r="U29" s="9" t="s">
        <v>34</v>
      </c>
      <c r="V29" s="11">
        <v>0.172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35</v>
      </c>
      <c r="AO29" s="9">
        <v>75</v>
      </c>
      <c r="AP29" s="9" t="s">
        <v>103</v>
      </c>
      <c r="AQ29" s="9">
        <v>1</v>
      </c>
      <c r="AR29" s="9" t="s">
        <v>104</v>
      </c>
      <c r="AS29" s="9" t="s">
        <v>210</v>
      </c>
      <c r="AT29" s="9" t="s">
        <v>211</v>
      </c>
    </row>
    <row r="30" spans="1:46">
      <c r="A30" s="9" t="s">
        <v>212</v>
      </c>
      <c r="B30" s="8">
        <v>46211</v>
      </c>
      <c r="C30" s="9" t="s">
        <v>6</v>
      </c>
      <c r="D30" s="9" t="s">
        <v>98</v>
      </c>
      <c r="E30" s="9" t="s">
        <v>108</v>
      </c>
      <c r="F30" s="9" t="s">
        <v>34</v>
      </c>
      <c r="G30" s="9" t="s">
        <v>33</v>
      </c>
      <c r="H30" s="9" t="s">
        <v>33</v>
      </c>
      <c r="I30" s="9" t="s">
        <v>99</v>
      </c>
      <c r="J30" s="9" t="s">
        <v>34</v>
      </c>
      <c r="K30" s="10">
        <v>25000000000</v>
      </c>
      <c r="M30" s="9" t="s">
        <v>132</v>
      </c>
      <c r="O30" s="9" t="s">
        <v>33</v>
      </c>
      <c r="P30" s="9" t="s">
        <v>34</v>
      </c>
      <c r="Q30" s="9" t="s">
        <v>100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35</v>
      </c>
      <c r="AO30" s="9">
        <v>50</v>
      </c>
      <c r="AP30" s="9" t="s">
        <v>103</v>
      </c>
      <c r="AQ30" s="9">
        <v>1</v>
      </c>
      <c r="AR30" s="9" t="s">
        <v>213</v>
      </c>
      <c r="AS30" s="9" t="s">
        <v>214</v>
      </c>
      <c r="AT30" s="9" t="s">
        <v>215</v>
      </c>
    </row>
    <row r="31" spans="1:46">
      <c r="A31" s="9" t="s">
        <v>216</v>
      </c>
      <c r="B31" s="8">
        <v>46211</v>
      </c>
      <c r="C31" s="9" t="s">
        <v>6</v>
      </c>
      <c r="D31" s="9" t="s">
        <v>98</v>
      </c>
      <c r="E31" s="9" t="s">
        <v>108</v>
      </c>
      <c r="F31" s="9" t="s">
        <v>143</v>
      </c>
      <c r="G31" s="9" t="s">
        <v>33</v>
      </c>
      <c r="H31" s="9" t="s">
        <v>33</v>
      </c>
      <c r="I31" s="9" t="s">
        <v>99</v>
      </c>
      <c r="J31" s="9" t="s">
        <v>34</v>
      </c>
      <c r="M31" s="9" t="s">
        <v>34</v>
      </c>
      <c r="O31" s="9" t="s">
        <v>33</v>
      </c>
      <c r="P31" s="9" t="s">
        <v>34</v>
      </c>
      <c r="Q31" s="9" t="s">
        <v>100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35</v>
      </c>
      <c r="AO31" s="9">
        <v>55</v>
      </c>
      <c r="AP31" s="9" t="s">
        <v>103</v>
      </c>
      <c r="AQ31" s="9">
        <v>1</v>
      </c>
      <c r="AR31" s="9" t="s">
        <v>201</v>
      </c>
      <c r="AS31" s="9" t="s">
        <v>217</v>
      </c>
      <c r="AT31" s="9" t="s">
        <v>207</v>
      </c>
    </row>
    <row r="32" spans="1:46">
      <c r="A32" s="9" t="s">
        <v>218</v>
      </c>
      <c r="B32" s="8">
        <v>46210</v>
      </c>
      <c r="C32" s="9" t="s">
        <v>6</v>
      </c>
      <c r="D32" s="9" t="s">
        <v>172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99</v>
      </c>
      <c r="J32" s="9" t="s">
        <v>116</v>
      </c>
      <c r="M32" s="9" t="s">
        <v>34</v>
      </c>
      <c r="O32" s="9" t="s">
        <v>33</v>
      </c>
      <c r="P32" s="9" t="s">
        <v>34</v>
      </c>
      <c r="Q32" s="9" t="s">
        <v>100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35</v>
      </c>
      <c r="AO32" s="9">
        <v>40</v>
      </c>
      <c r="AP32" s="9" t="s">
        <v>127</v>
      </c>
      <c r="AQ32" s="9">
        <v>1</v>
      </c>
      <c r="AR32" s="9" t="s">
        <v>128</v>
      </c>
      <c r="AS32" s="9" t="s">
        <v>219</v>
      </c>
      <c r="AT32" s="9" t="s">
        <v>220</v>
      </c>
    </row>
    <row r="33" spans="1:46">
      <c r="A33" s="9" t="s">
        <v>221</v>
      </c>
      <c r="B33" s="8">
        <v>46210</v>
      </c>
      <c r="C33" s="9" t="s">
        <v>6</v>
      </c>
      <c r="D33" s="9" t="s">
        <v>172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116</v>
      </c>
      <c r="M33" s="9" t="s">
        <v>34</v>
      </c>
      <c r="O33" s="9" t="s">
        <v>33</v>
      </c>
      <c r="P33" s="9" t="s">
        <v>34</v>
      </c>
      <c r="Q33" s="9" t="s">
        <v>100</v>
      </c>
      <c r="R33" s="9" t="s">
        <v>34</v>
      </c>
      <c r="S33" s="9" t="s">
        <v>222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35</v>
      </c>
      <c r="AO33" s="9">
        <v>40</v>
      </c>
      <c r="AP33" s="9" t="s">
        <v>127</v>
      </c>
      <c r="AQ33" s="9">
        <v>1</v>
      </c>
      <c r="AR33" s="9" t="s">
        <v>128</v>
      </c>
      <c r="AS33" s="9" t="s">
        <v>223</v>
      </c>
      <c r="AT33" s="9" t="s">
        <v>224</v>
      </c>
    </row>
    <row r="34" spans="1:46">
      <c r="A34" s="9" t="s">
        <v>225</v>
      </c>
      <c r="B34" s="8">
        <v>46209</v>
      </c>
      <c r="C34" s="9" t="s">
        <v>6</v>
      </c>
      <c r="D34" s="9" t="s">
        <v>172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116</v>
      </c>
      <c r="M34" s="9" t="s">
        <v>34</v>
      </c>
      <c r="O34" s="9" t="s">
        <v>33</v>
      </c>
      <c r="P34" s="9" t="s">
        <v>34</v>
      </c>
      <c r="Q34" s="9" t="s">
        <v>100</v>
      </c>
      <c r="R34" s="9" t="s">
        <v>226</v>
      </c>
      <c r="S34" s="9" t="s">
        <v>227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35</v>
      </c>
      <c r="AO34" s="9">
        <v>40</v>
      </c>
      <c r="AP34" s="9" t="s">
        <v>127</v>
      </c>
      <c r="AQ34" s="9">
        <v>1</v>
      </c>
      <c r="AR34" s="9" t="s">
        <v>128</v>
      </c>
      <c r="AS34" s="9" t="s">
        <v>228</v>
      </c>
      <c r="AT34" s="9" t="s">
        <v>229</v>
      </c>
    </row>
    <row r="35" spans="1:46">
      <c r="A35" s="9" t="s">
        <v>230</v>
      </c>
      <c r="B35" s="8">
        <v>46209</v>
      </c>
      <c r="C35" s="9" t="s">
        <v>6</v>
      </c>
      <c r="D35" s="9" t="s">
        <v>172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99</v>
      </c>
      <c r="J35" s="9" t="s">
        <v>116</v>
      </c>
      <c r="M35" s="9" t="s">
        <v>34</v>
      </c>
      <c r="O35" s="9" t="s">
        <v>33</v>
      </c>
      <c r="P35" s="9" t="s">
        <v>34</v>
      </c>
      <c r="Q35" s="9" t="s">
        <v>100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35</v>
      </c>
      <c r="AO35" s="9">
        <v>40</v>
      </c>
      <c r="AP35" s="9" t="s">
        <v>127</v>
      </c>
      <c r="AQ35" s="9">
        <v>1</v>
      </c>
      <c r="AR35" s="9" t="s">
        <v>128</v>
      </c>
      <c r="AS35" s="9" t="s">
        <v>231</v>
      </c>
      <c r="AT35" s="9" t="s">
        <v>232</v>
      </c>
    </row>
    <row r="36" spans="1:46">
      <c r="A36" s="9" t="s">
        <v>233</v>
      </c>
      <c r="B36" s="8">
        <v>46209</v>
      </c>
      <c r="C36" s="9" t="s">
        <v>4</v>
      </c>
      <c r="D36" s="9" t="s">
        <v>98</v>
      </c>
      <c r="E36" s="9" t="s">
        <v>108</v>
      </c>
      <c r="F36" s="9" t="s">
        <v>34</v>
      </c>
      <c r="G36" s="9" t="s">
        <v>34</v>
      </c>
      <c r="H36" s="9" t="s">
        <v>34</v>
      </c>
      <c r="I36" s="9" t="s">
        <v>99</v>
      </c>
      <c r="J36" s="9" t="s">
        <v>34</v>
      </c>
      <c r="M36" s="9" t="s">
        <v>34</v>
      </c>
      <c r="O36" s="9" t="s">
        <v>34</v>
      </c>
      <c r="P36" s="9" t="s">
        <v>34</v>
      </c>
      <c r="Q36" s="9" t="s">
        <v>111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102</v>
      </c>
      <c r="AO36" s="9">
        <v>0</v>
      </c>
      <c r="AP36" s="9" t="s">
        <v>103</v>
      </c>
      <c r="AQ36" s="9">
        <v>1</v>
      </c>
      <c r="AR36" s="9" t="s">
        <v>234</v>
      </c>
      <c r="AS36" s="9" t="s">
        <v>235</v>
      </c>
      <c r="AT36" s="9" t="s">
        <v>236</v>
      </c>
    </row>
    <row r="37" spans="1:46">
      <c r="A37" s="9" t="s">
        <v>237</v>
      </c>
      <c r="B37" s="8">
        <v>46209</v>
      </c>
      <c r="C37" s="9" t="s">
        <v>6</v>
      </c>
      <c r="D37" s="9" t="s">
        <v>98</v>
      </c>
      <c r="E37" s="9" t="s">
        <v>108</v>
      </c>
      <c r="F37" s="9" t="s">
        <v>137</v>
      </c>
      <c r="G37" s="9" t="s">
        <v>33</v>
      </c>
      <c r="H37" s="9" t="s">
        <v>33</v>
      </c>
      <c r="I37" s="9" t="s">
        <v>99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100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35</v>
      </c>
      <c r="AO37" s="9">
        <v>55</v>
      </c>
      <c r="AP37" s="9" t="s">
        <v>103</v>
      </c>
      <c r="AQ37" s="9">
        <v>1</v>
      </c>
      <c r="AR37" s="9" t="s">
        <v>139</v>
      </c>
      <c r="AS37" s="9" t="s">
        <v>238</v>
      </c>
      <c r="AT37" s="9" t="s">
        <v>239</v>
      </c>
    </row>
    <row r="38" spans="1:46">
      <c r="A38" s="9" t="s">
        <v>240</v>
      </c>
      <c r="B38" s="8">
        <v>46206</v>
      </c>
      <c r="C38" s="9" t="s">
        <v>6</v>
      </c>
      <c r="D38" s="9" t="s">
        <v>172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99</v>
      </c>
      <c r="J38" s="9" t="s">
        <v>116</v>
      </c>
      <c r="M38" s="9" t="s">
        <v>34</v>
      </c>
      <c r="O38" s="9" t="s">
        <v>33</v>
      </c>
      <c r="P38" s="9" t="s">
        <v>34</v>
      </c>
      <c r="Q38" s="9" t="s">
        <v>100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35</v>
      </c>
      <c r="AO38" s="9">
        <v>40</v>
      </c>
      <c r="AP38" s="9" t="s">
        <v>127</v>
      </c>
      <c r="AQ38" s="9">
        <v>1</v>
      </c>
      <c r="AR38" s="9" t="s">
        <v>128</v>
      </c>
      <c r="AS38" s="9" t="s">
        <v>241</v>
      </c>
      <c r="AT38" s="9" t="s">
        <v>242</v>
      </c>
    </row>
    <row r="39" spans="1:46">
      <c r="A39" s="9" t="s">
        <v>243</v>
      </c>
      <c r="B39" s="8">
        <v>46206</v>
      </c>
      <c r="C39" s="9" t="s">
        <v>6</v>
      </c>
      <c r="D39" s="9" t="s">
        <v>172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99</v>
      </c>
      <c r="J39" s="9" t="s">
        <v>34</v>
      </c>
      <c r="M39" s="9" t="s">
        <v>34</v>
      </c>
      <c r="O39" s="9" t="s">
        <v>33</v>
      </c>
      <c r="P39" s="9" t="s">
        <v>34</v>
      </c>
      <c r="Q39" s="9" t="s">
        <v>100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35</v>
      </c>
      <c r="AO39" s="9">
        <v>40</v>
      </c>
      <c r="AP39" s="9" t="s">
        <v>127</v>
      </c>
      <c r="AQ39" s="9">
        <v>1</v>
      </c>
      <c r="AR39" s="9" t="s">
        <v>128</v>
      </c>
      <c r="AS39" s="9" t="s">
        <v>244</v>
      </c>
      <c r="AT39" s="9" t="s">
        <v>245</v>
      </c>
    </row>
    <row r="40" spans="1:46">
      <c r="A40" s="9" t="s">
        <v>246</v>
      </c>
      <c r="B40" s="8">
        <v>46206</v>
      </c>
      <c r="C40" s="9" t="s">
        <v>6</v>
      </c>
      <c r="D40" s="9" t="s">
        <v>172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99</v>
      </c>
      <c r="J40" s="9" t="s">
        <v>116</v>
      </c>
      <c r="M40" s="9" t="s">
        <v>34</v>
      </c>
      <c r="O40" s="9" t="s">
        <v>33</v>
      </c>
      <c r="P40" s="9" t="s">
        <v>34</v>
      </c>
      <c r="Q40" s="9" t="s">
        <v>100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35</v>
      </c>
      <c r="AO40" s="9">
        <v>40</v>
      </c>
      <c r="AP40" s="9" t="s">
        <v>127</v>
      </c>
      <c r="AQ40" s="9">
        <v>1</v>
      </c>
      <c r="AR40" s="9" t="s">
        <v>128</v>
      </c>
      <c r="AS40" s="9" t="s">
        <v>247</v>
      </c>
      <c r="AT40" s="9" t="s">
        <v>248</v>
      </c>
    </row>
    <row r="41" spans="1:46">
      <c r="A41" s="9" t="s">
        <v>249</v>
      </c>
      <c r="B41" s="8">
        <v>46206</v>
      </c>
      <c r="C41" s="9" t="s">
        <v>4</v>
      </c>
      <c r="D41" s="9" t="s">
        <v>98</v>
      </c>
      <c r="E41" s="9" t="s">
        <v>108</v>
      </c>
      <c r="F41" s="9" t="s">
        <v>34</v>
      </c>
      <c r="G41" s="9" t="s">
        <v>34</v>
      </c>
      <c r="H41" s="9" t="s">
        <v>34</v>
      </c>
      <c r="I41" s="9" t="s">
        <v>9</v>
      </c>
      <c r="J41" s="9" t="s">
        <v>34</v>
      </c>
      <c r="M41" s="9" t="s">
        <v>34</v>
      </c>
      <c r="O41" s="9" t="s">
        <v>34</v>
      </c>
      <c r="P41" s="9" t="s">
        <v>34</v>
      </c>
      <c r="Q41" s="9" t="s">
        <v>111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35</v>
      </c>
      <c r="AO41" s="9">
        <v>40</v>
      </c>
      <c r="AP41" s="9" t="s">
        <v>103</v>
      </c>
      <c r="AQ41" s="9">
        <v>4</v>
      </c>
      <c r="AR41" s="9" t="s">
        <v>250</v>
      </c>
      <c r="AS41" s="9" t="s">
        <v>251</v>
      </c>
      <c r="AT41" s="9" t="s">
        <v>252</v>
      </c>
    </row>
    <row r="42" spans="1:46">
      <c r="A42" s="9" t="s">
        <v>253</v>
      </c>
      <c r="B42" s="8">
        <v>46205</v>
      </c>
      <c r="C42" s="9" t="s">
        <v>6</v>
      </c>
      <c r="D42" s="9" t="s">
        <v>172</v>
      </c>
      <c r="E42" s="9" t="s">
        <v>254</v>
      </c>
      <c r="F42" s="9" t="s">
        <v>34</v>
      </c>
      <c r="G42" s="9" t="s">
        <v>33</v>
      </c>
      <c r="H42" s="9" t="s">
        <v>33</v>
      </c>
      <c r="I42" s="9" t="s">
        <v>99</v>
      </c>
      <c r="J42" s="9" t="s">
        <v>116</v>
      </c>
      <c r="M42" s="9" t="s">
        <v>34</v>
      </c>
      <c r="O42" s="9" t="s">
        <v>33</v>
      </c>
      <c r="P42" s="9" t="s">
        <v>34</v>
      </c>
      <c r="Q42" s="9" t="s">
        <v>100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35</v>
      </c>
      <c r="AO42" s="9">
        <v>40</v>
      </c>
      <c r="AP42" s="9" t="s">
        <v>127</v>
      </c>
      <c r="AQ42" s="9">
        <v>1</v>
      </c>
      <c r="AR42" s="9" t="s">
        <v>128</v>
      </c>
      <c r="AS42" s="9" t="s">
        <v>255</v>
      </c>
      <c r="AT42" s="9" t="s">
        <v>256</v>
      </c>
    </row>
    <row r="43" spans="1:46">
      <c r="A43" s="9" t="s">
        <v>257</v>
      </c>
      <c r="B43" s="8">
        <v>46205</v>
      </c>
      <c r="C43" s="9" t="s">
        <v>6</v>
      </c>
      <c r="D43" s="9" t="s">
        <v>172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116</v>
      </c>
      <c r="K43" s="10">
        <v>9148870000</v>
      </c>
      <c r="M43" s="9" t="s">
        <v>38</v>
      </c>
      <c r="O43" s="9" t="s">
        <v>33</v>
      </c>
      <c r="P43" s="9" t="s">
        <v>34</v>
      </c>
      <c r="Q43" s="9" t="s">
        <v>100</v>
      </c>
      <c r="R43" s="9" t="s">
        <v>258</v>
      </c>
      <c r="S43" s="9" t="s">
        <v>34</v>
      </c>
      <c r="U43" s="9" t="s">
        <v>34</v>
      </c>
      <c r="X43" s="9" t="s">
        <v>34</v>
      </c>
      <c r="Y43" s="10">
        <v>999.628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35</v>
      </c>
      <c r="AO43" s="9">
        <v>40</v>
      </c>
      <c r="AP43" s="9" t="s">
        <v>127</v>
      </c>
      <c r="AQ43" s="9">
        <v>1</v>
      </c>
      <c r="AR43" s="9" t="s">
        <v>128</v>
      </c>
      <c r="AS43" s="9" t="s">
        <v>259</v>
      </c>
      <c r="AT43" s="9" t="s">
        <v>260</v>
      </c>
    </row>
    <row r="44" spans="1:46">
      <c r="A44" s="9" t="s">
        <v>261</v>
      </c>
      <c r="B44" s="8">
        <v>46205</v>
      </c>
      <c r="C44" s="9" t="s">
        <v>6</v>
      </c>
      <c r="D44" s="9" t="s">
        <v>172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99</v>
      </c>
      <c r="J44" s="9" t="s">
        <v>116</v>
      </c>
      <c r="M44" s="9" t="s">
        <v>34</v>
      </c>
      <c r="O44" s="9" t="s">
        <v>33</v>
      </c>
      <c r="P44" s="9" t="s">
        <v>34</v>
      </c>
      <c r="Q44" s="9" t="s">
        <v>100</v>
      </c>
      <c r="R44" s="9" t="s">
        <v>262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35</v>
      </c>
      <c r="AO44" s="9">
        <v>40</v>
      </c>
      <c r="AP44" s="9" t="s">
        <v>127</v>
      </c>
      <c r="AQ44" s="9">
        <v>1</v>
      </c>
      <c r="AR44" s="9" t="s">
        <v>128</v>
      </c>
      <c r="AS44" s="9" t="s">
        <v>263</v>
      </c>
      <c r="AT44" s="9" t="s">
        <v>264</v>
      </c>
    </row>
    <row r="45" spans="1:46">
      <c r="A45" s="9" t="s">
        <v>265</v>
      </c>
      <c r="B45" s="8">
        <v>46205</v>
      </c>
      <c r="C45" s="9" t="s">
        <v>6</v>
      </c>
      <c r="D45" s="9" t="s">
        <v>172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99</v>
      </c>
      <c r="J45" s="9" t="s">
        <v>116</v>
      </c>
      <c r="M45" s="9" t="s">
        <v>34</v>
      </c>
      <c r="O45" s="9" t="s">
        <v>33</v>
      </c>
      <c r="P45" s="9" t="s">
        <v>34</v>
      </c>
      <c r="Q45" s="9" t="s">
        <v>100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35</v>
      </c>
      <c r="AO45" s="9">
        <v>40</v>
      </c>
      <c r="AP45" s="9" t="s">
        <v>127</v>
      </c>
      <c r="AQ45" s="9">
        <v>1</v>
      </c>
      <c r="AR45" s="9" t="s">
        <v>128</v>
      </c>
      <c r="AS45" s="9" t="s">
        <v>266</v>
      </c>
      <c r="AT45" s="9" t="s">
        <v>267</v>
      </c>
    </row>
    <row r="46" spans="1:46">
      <c r="A46" s="9" t="s">
        <v>268</v>
      </c>
      <c r="B46" s="8">
        <v>46205</v>
      </c>
      <c r="C46" s="9" t="s">
        <v>6</v>
      </c>
      <c r="D46" s="9" t="s">
        <v>172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99</v>
      </c>
      <c r="J46" s="9" t="s">
        <v>116</v>
      </c>
      <c r="M46" s="9" t="s">
        <v>34</v>
      </c>
      <c r="O46" s="9" t="s">
        <v>33</v>
      </c>
      <c r="P46" s="9" t="s">
        <v>34</v>
      </c>
      <c r="Q46" s="9" t="s">
        <v>100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35</v>
      </c>
      <c r="AO46" s="9">
        <v>40</v>
      </c>
      <c r="AP46" s="9" t="s">
        <v>127</v>
      </c>
      <c r="AQ46" s="9">
        <v>1</v>
      </c>
      <c r="AR46" s="9" t="s">
        <v>128</v>
      </c>
      <c r="AS46" s="9" t="s">
        <v>269</v>
      </c>
      <c r="AT46" s="9" t="s">
        <v>270</v>
      </c>
    </row>
    <row r="47" spans="1:46">
      <c r="A47" s="9" t="s">
        <v>271</v>
      </c>
      <c r="B47" s="8">
        <v>46204</v>
      </c>
      <c r="C47" s="9" t="s">
        <v>6</v>
      </c>
      <c r="D47" s="9" t="s">
        <v>172</v>
      </c>
      <c r="E47" s="9" t="s">
        <v>31</v>
      </c>
      <c r="F47" s="9" t="s">
        <v>272</v>
      </c>
      <c r="G47" s="9" t="s">
        <v>33</v>
      </c>
      <c r="H47" s="9" t="s">
        <v>33</v>
      </c>
      <c r="I47" s="9" t="s">
        <v>99</v>
      </c>
      <c r="J47" s="9" t="s">
        <v>116</v>
      </c>
      <c r="M47" s="9" t="s">
        <v>34</v>
      </c>
      <c r="O47" s="9" t="s">
        <v>33</v>
      </c>
      <c r="P47" s="9" t="s">
        <v>34</v>
      </c>
      <c r="Q47" s="9" t="s">
        <v>100</v>
      </c>
      <c r="R47" s="9" t="s">
        <v>34</v>
      </c>
      <c r="S47" s="9" t="s">
        <v>273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35</v>
      </c>
      <c r="AO47" s="9">
        <v>60</v>
      </c>
      <c r="AP47" s="9" t="s">
        <v>127</v>
      </c>
      <c r="AQ47" s="9">
        <v>1</v>
      </c>
      <c r="AR47" s="9" t="s">
        <v>128</v>
      </c>
      <c r="AS47" s="9" t="s">
        <v>274</v>
      </c>
      <c r="AT47" s="9" t="s">
        <v>275</v>
      </c>
    </row>
    <row r="48" spans="1:46">
      <c r="A48" s="9" t="s">
        <v>276</v>
      </c>
      <c r="B48" s="8">
        <v>46204</v>
      </c>
      <c r="C48" s="9" t="s">
        <v>6</v>
      </c>
      <c r="D48" s="9" t="s">
        <v>172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116</v>
      </c>
      <c r="K48" s="10">
        <v>8821850000</v>
      </c>
      <c r="M48" s="9" t="s">
        <v>38</v>
      </c>
      <c r="O48" s="9" t="s">
        <v>33</v>
      </c>
      <c r="P48" s="9" t="s">
        <v>34</v>
      </c>
      <c r="Q48" s="9" t="s">
        <v>100</v>
      </c>
      <c r="R48" s="9" t="s">
        <v>277</v>
      </c>
      <c r="S48" s="9" t="s">
        <v>34</v>
      </c>
      <c r="U48" s="9" t="s">
        <v>34</v>
      </c>
      <c r="X48" s="9" t="s">
        <v>34</v>
      </c>
      <c r="Y48" s="10">
        <v>999.625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35</v>
      </c>
      <c r="AO48" s="9">
        <v>40</v>
      </c>
      <c r="AP48" s="9" t="s">
        <v>127</v>
      </c>
      <c r="AQ48" s="9">
        <v>1</v>
      </c>
      <c r="AR48" s="9" t="s">
        <v>128</v>
      </c>
      <c r="AS48" s="9" t="s">
        <v>278</v>
      </c>
      <c r="AT48" s="9" t="s">
        <v>260</v>
      </c>
    </row>
    <row r="49" spans="1:46">
      <c r="A49" s="9" t="s">
        <v>279</v>
      </c>
      <c r="B49" s="8">
        <v>46204</v>
      </c>
      <c r="C49" s="9" t="s">
        <v>6</v>
      </c>
      <c r="D49" s="9" t="s">
        <v>172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116</v>
      </c>
      <c r="M49" s="9" t="s">
        <v>34</v>
      </c>
      <c r="O49" s="9" t="s">
        <v>33</v>
      </c>
      <c r="P49" s="9" t="s">
        <v>34</v>
      </c>
      <c r="Q49" s="9" t="s">
        <v>100</v>
      </c>
      <c r="R49" s="9" t="s">
        <v>280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35</v>
      </c>
      <c r="AO49" s="9">
        <v>40</v>
      </c>
      <c r="AP49" s="9" t="s">
        <v>127</v>
      </c>
      <c r="AQ49" s="9">
        <v>1</v>
      </c>
      <c r="AR49" s="9" t="s">
        <v>128</v>
      </c>
      <c r="AS49" s="9" t="s">
        <v>281</v>
      </c>
      <c r="AT49" s="9" t="s">
        <v>282</v>
      </c>
    </row>
    <row r="50" spans="1:46">
      <c r="A50" s="9" t="s">
        <v>283</v>
      </c>
      <c r="B50" s="8">
        <v>46204</v>
      </c>
      <c r="C50" s="9" t="s">
        <v>6</v>
      </c>
      <c r="D50" s="9" t="s">
        <v>172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99</v>
      </c>
      <c r="J50" s="9" t="s">
        <v>116</v>
      </c>
      <c r="M50" s="9" t="s">
        <v>34</v>
      </c>
      <c r="O50" s="9" t="s">
        <v>33</v>
      </c>
      <c r="P50" s="9" t="s">
        <v>34</v>
      </c>
      <c r="Q50" s="9" t="s">
        <v>100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35</v>
      </c>
      <c r="AO50" s="9">
        <v>40</v>
      </c>
      <c r="AP50" s="9" t="s">
        <v>127</v>
      </c>
      <c r="AQ50" s="9">
        <v>1</v>
      </c>
      <c r="AR50" s="9" t="s">
        <v>128</v>
      </c>
      <c r="AS50" s="9" t="s">
        <v>284</v>
      </c>
      <c r="AT50" s="9" t="s">
        <v>270</v>
      </c>
    </row>
    <row r="51" spans="1:46">
      <c r="A51" s="9" t="s">
        <v>285</v>
      </c>
      <c r="B51" s="8">
        <v>46204</v>
      </c>
      <c r="C51" s="9" t="s">
        <v>6</v>
      </c>
      <c r="D51" s="9" t="s">
        <v>172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116</v>
      </c>
      <c r="M51" s="9" t="s">
        <v>34</v>
      </c>
      <c r="O51" s="9" t="s">
        <v>33</v>
      </c>
      <c r="P51" s="9" t="s">
        <v>34</v>
      </c>
      <c r="Q51" s="9" t="s">
        <v>100</v>
      </c>
      <c r="R51" s="9" t="s">
        <v>286</v>
      </c>
      <c r="S51" s="9" t="s">
        <v>287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35</v>
      </c>
      <c r="AO51" s="9">
        <v>40</v>
      </c>
      <c r="AP51" s="9" t="s">
        <v>127</v>
      </c>
      <c r="AQ51" s="9">
        <v>1</v>
      </c>
      <c r="AR51" s="9" t="s">
        <v>128</v>
      </c>
      <c r="AS51" s="9" t="s">
        <v>288</v>
      </c>
      <c r="AT51" s="9" t="s">
        <v>289</v>
      </c>
    </row>
    <row r="52" spans="1:46">
      <c r="A52" s="9" t="s">
        <v>290</v>
      </c>
      <c r="B52" s="8">
        <v>46204</v>
      </c>
      <c r="C52" s="9" t="s">
        <v>6</v>
      </c>
      <c r="D52" s="9" t="s">
        <v>172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116</v>
      </c>
      <c r="M52" s="9" t="s">
        <v>34</v>
      </c>
      <c r="O52" s="9" t="s">
        <v>33</v>
      </c>
      <c r="P52" s="9" t="s">
        <v>34</v>
      </c>
      <c r="Q52" s="9" t="s">
        <v>100</v>
      </c>
      <c r="R52" s="9" t="s">
        <v>291</v>
      </c>
      <c r="S52" s="9" t="s">
        <v>292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40</v>
      </c>
      <c r="AP52" s="9" t="s">
        <v>127</v>
      </c>
      <c r="AQ52" s="9">
        <v>1</v>
      </c>
      <c r="AR52" s="9" t="s">
        <v>128</v>
      </c>
      <c r="AS52" s="9" t="s">
        <v>293</v>
      </c>
      <c r="AT52" s="9" t="s">
        <v>294</v>
      </c>
    </row>
    <row r="53" spans="1:46">
      <c r="A53" s="9" t="s">
        <v>295</v>
      </c>
      <c r="B53" s="8">
        <v>46204</v>
      </c>
      <c r="C53" s="9" t="s">
        <v>4</v>
      </c>
      <c r="D53" s="9" t="s">
        <v>98</v>
      </c>
      <c r="E53" s="9" t="s">
        <v>108</v>
      </c>
      <c r="F53" s="9" t="s">
        <v>34</v>
      </c>
      <c r="G53" s="9" t="s">
        <v>34</v>
      </c>
      <c r="H53" s="9" t="s">
        <v>34</v>
      </c>
      <c r="I53" s="9" t="s">
        <v>99</v>
      </c>
      <c r="J53" s="9" t="s">
        <v>116</v>
      </c>
      <c r="K53" s="10">
        <v>300000000000</v>
      </c>
      <c r="M53" s="9" t="s">
        <v>38</v>
      </c>
      <c r="O53" s="9" t="s">
        <v>34</v>
      </c>
      <c r="P53" s="9" t="s">
        <v>34</v>
      </c>
      <c r="Q53" s="9" t="s">
        <v>111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102</v>
      </c>
      <c r="AO53" s="9">
        <v>0</v>
      </c>
      <c r="AP53" s="9" t="s">
        <v>103</v>
      </c>
      <c r="AQ53" s="9">
        <v>4</v>
      </c>
      <c r="AR53" s="9" t="s">
        <v>156</v>
      </c>
      <c r="AS53" s="9" t="s">
        <v>296</v>
      </c>
      <c r="AT53" s="9" t="s">
        <v>297</v>
      </c>
    </row>
    <row r="54" spans="1:46">
      <c r="A54" s="9" t="s">
        <v>298</v>
      </c>
      <c r="B54" s="8">
        <v>46204</v>
      </c>
      <c r="C54" s="9" t="s">
        <v>4</v>
      </c>
      <c r="D54" s="9" t="s">
        <v>98</v>
      </c>
      <c r="E54" s="9" t="s">
        <v>108</v>
      </c>
      <c r="F54" s="9" t="s">
        <v>34</v>
      </c>
      <c r="G54" s="9" t="s">
        <v>34</v>
      </c>
      <c r="H54" s="9" t="s">
        <v>34</v>
      </c>
      <c r="I54" s="9" t="s">
        <v>99</v>
      </c>
      <c r="J54" s="9" t="s">
        <v>34</v>
      </c>
      <c r="M54" s="9" t="s">
        <v>34</v>
      </c>
      <c r="O54" s="9" t="s">
        <v>34</v>
      </c>
      <c r="P54" s="9" t="s">
        <v>34</v>
      </c>
      <c r="Q54" s="9" t="s">
        <v>111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102</v>
      </c>
      <c r="AO54" s="9">
        <v>0</v>
      </c>
      <c r="AP54" s="9" t="s">
        <v>103</v>
      </c>
      <c r="AQ54" s="9">
        <v>1</v>
      </c>
      <c r="AR54" s="9" t="s">
        <v>299</v>
      </c>
      <c r="AS54" s="9" t="s">
        <v>300</v>
      </c>
      <c r="AT54" s="9" t="s">
        <v>301</v>
      </c>
    </row>
    <row r="55" spans="1:46">
      <c r="A55" s="9" t="s">
        <v>302</v>
      </c>
      <c r="B55" s="8">
        <v>46203</v>
      </c>
      <c r="C55" s="9" t="s">
        <v>6</v>
      </c>
      <c r="D55" s="9" t="s">
        <v>172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116</v>
      </c>
      <c r="M55" s="9" t="s">
        <v>34</v>
      </c>
      <c r="O55" s="9" t="s">
        <v>33</v>
      </c>
      <c r="P55" s="9" t="s">
        <v>34</v>
      </c>
      <c r="Q55" s="9" t="s">
        <v>100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35</v>
      </c>
      <c r="AO55" s="9">
        <v>40</v>
      </c>
      <c r="AP55" s="9" t="s">
        <v>127</v>
      </c>
      <c r="AQ55" s="9">
        <v>1</v>
      </c>
      <c r="AR55" s="9" t="s">
        <v>128</v>
      </c>
      <c r="AS55" s="9" t="s">
        <v>303</v>
      </c>
      <c r="AT55" s="9" t="s">
        <v>304</v>
      </c>
    </row>
    <row r="56" spans="1:46">
      <c r="A56" s="9" t="s">
        <v>305</v>
      </c>
      <c r="B56" s="8">
        <v>46203</v>
      </c>
      <c r="C56" s="9" t="s">
        <v>6</v>
      </c>
      <c r="D56" s="9" t="s">
        <v>172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116</v>
      </c>
      <c r="M56" s="9" t="s">
        <v>34</v>
      </c>
      <c r="O56" s="9" t="s">
        <v>33</v>
      </c>
      <c r="P56" s="9" t="s">
        <v>34</v>
      </c>
      <c r="Q56" s="9" t="s">
        <v>100</v>
      </c>
      <c r="R56" s="9" t="s">
        <v>306</v>
      </c>
      <c r="S56" s="9" t="s">
        <v>307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35</v>
      </c>
      <c r="AO56" s="9">
        <v>40</v>
      </c>
      <c r="AP56" s="9" t="s">
        <v>127</v>
      </c>
      <c r="AQ56" s="9">
        <v>1</v>
      </c>
      <c r="AR56" s="9" t="s">
        <v>128</v>
      </c>
      <c r="AS56" s="9" t="s">
        <v>308</v>
      </c>
      <c r="AT56" s="9" t="s">
        <v>309</v>
      </c>
    </row>
    <row r="57" spans="1:46">
      <c r="A57" s="9" t="s">
        <v>310</v>
      </c>
      <c r="B57" s="8">
        <v>46203</v>
      </c>
      <c r="C57" s="9" t="s">
        <v>6</v>
      </c>
      <c r="D57" s="9" t="s">
        <v>172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116</v>
      </c>
      <c r="M57" s="9" t="s">
        <v>34</v>
      </c>
      <c r="O57" s="9" t="s">
        <v>33</v>
      </c>
      <c r="P57" s="9" t="s">
        <v>34</v>
      </c>
      <c r="Q57" s="9" t="s">
        <v>100</v>
      </c>
      <c r="R57" s="9" t="s">
        <v>311</v>
      </c>
      <c r="S57" s="9" t="s">
        <v>312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35</v>
      </c>
      <c r="AO57" s="9">
        <v>40</v>
      </c>
      <c r="AP57" s="9" t="s">
        <v>127</v>
      </c>
      <c r="AQ57" s="9">
        <v>1</v>
      </c>
      <c r="AR57" s="9" t="s">
        <v>128</v>
      </c>
      <c r="AS57" s="9" t="s">
        <v>313</v>
      </c>
      <c r="AT57" s="9" t="s">
        <v>314</v>
      </c>
    </row>
    <row r="58" spans="1:46">
      <c r="A58" s="9" t="s">
        <v>315</v>
      </c>
      <c r="B58" s="8">
        <v>46203</v>
      </c>
      <c r="C58" s="9" t="s">
        <v>6</v>
      </c>
      <c r="D58" s="9" t="s">
        <v>172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116</v>
      </c>
      <c r="K58" s="10">
        <v>8520970000</v>
      </c>
      <c r="M58" s="9" t="s">
        <v>38</v>
      </c>
      <c r="O58" s="9" t="s">
        <v>33</v>
      </c>
      <c r="P58" s="9" t="s">
        <v>34</v>
      </c>
      <c r="Q58" s="9" t="s">
        <v>100</v>
      </c>
      <c r="R58" s="9" t="s">
        <v>316</v>
      </c>
      <c r="S58" s="9" t="s">
        <v>34</v>
      </c>
      <c r="U58" s="9" t="s">
        <v>34</v>
      </c>
      <c r="X58" s="9" t="s">
        <v>34</v>
      </c>
      <c r="Y58" s="10">
        <v>999.627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35</v>
      </c>
      <c r="AO58" s="9">
        <v>40</v>
      </c>
      <c r="AP58" s="9" t="s">
        <v>127</v>
      </c>
      <c r="AQ58" s="9">
        <v>1</v>
      </c>
      <c r="AR58" s="9" t="s">
        <v>128</v>
      </c>
      <c r="AS58" s="9" t="s">
        <v>317</v>
      </c>
      <c r="AT58" s="9" t="s">
        <v>260</v>
      </c>
    </row>
    <row r="59" spans="1:46">
      <c r="A59" s="9" t="s">
        <v>318</v>
      </c>
      <c r="B59" s="8">
        <v>46203</v>
      </c>
      <c r="C59" s="9" t="s">
        <v>6</v>
      </c>
      <c r="D59" s="9" t="s">
        <v>98</v>
      </c>
      <c r="E59" s="9" t="s">
        <v>108</v>
      </c>
      <c r="F59" s="9" t="s">
        <v>48</v>
      </c>
      <c r="G59" s="9" t="s">
        <v>33</v>
      </c>
      <c r="H59" s="9" t="s">
        <v>33</v>
      </c>
      <c r="I59" s="9" t="s">
        <v>9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100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35</v>
      </c>
      <c r="AO59" s="9">
        <v>55</v>
      </c>
      <c r="AP59" s="9" t="s">
        <v>103</v>
      </c>
      <c r="AQ59" s="9">
        <v>1</v>
      </c>
      <c r="AR59" s="9" t="s">
        <v>319</v>
      </c>
      <c r="AS59" s="9" t="s">
        <v>320</v>
      </c>
      <c r="AT59" s="9" t="s">
        <v>321</v>
      </c>
    </row>
    <row r="60" spans="1:46">
      <c r="A60" s="9" t="s">
        <v>322</v>
      </c>
      <c r="B60" s="8">
        <v>46203</v>
      </c>
      <c r="C60" s="9" t="s">
        <v>6</v>
      </c>
      <c r="D60" s="9" t="s">
        <v>98</v>
      </c>
      <c r="E60" s="9" t="s">
        <v>40</v>
      </c>
      <c r="F60" s="9" t="s">
        <v>323</v>
      </c>
      <c r="G60" s="9" t="s">
        <v>33</v>
      </c>
      <c r="H60" s="9" t="s">
        <v>33</v>
      </c>
      <c r="I60" s="9" t="s">
        <v>99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100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35</v>
      </c>
      <c r="AO60" s="9">
        <v>55</v>
      </c>
      <c r="AP60" s="9" t="s">
        <v>103</v>
      </c>
      <c r="AQ60" s="9">
        <v>1</v>
      </c>
      <c r="AR60" s="9" t="s">
        <v>324</v>
      </c>
      <c r="AS60" s="9" t="s">
        <v>325</v>
      </c>
      <c r="AT60" s="9" t="s">
        <v>326</v>
      </c>
    </row>
    <row r="61" spans="1:46">
      <c r="A61" s="9" t="s">
        <v>327</v>
      </c>
      <c r="B61" s="8">
        <v>46202</v>
      </c>
      <c r="C61" s="9" t="s">
        <v>6</v>
      </c>
      <c r="D61" s="9" t="s">
        <v>172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116</v>
      </c>
      <c r="K61" s="10">
        <v>3930247000</v>
      </c>
      <c r="M61" s="9" t="s">
        <v>38</v>
      </c>
      <c r="O61" s="9" t="s">
        <v>33</v>
      </c>
      <c r="P61" s="9" t="s">
        <v>34</v>
      </c>
      <c r="Q61" s="9" t="s">
        <v>100</v>
      </c>
      <c r="R61" s="9" t="s">
        <v>311</v>
      </c>
      <c r="S61" s="9" t="s">
        <v>34</v>
      </c>
      <c r="U61" s="9" t="s">
        <v>34</v>
      </c>
      <c r="X61" s="9" t="s">
        <v>34</v>
      </c>
      <c r="Y61" s="10">
        <v>560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35</v>
      </c>
      <c r="AO61" s="9">
        <v>40</v>
      </c>
      <c r="AP61" s="9" t="s">
        <v>127</v>
      </c>
      <c r="AQ61" s="9">
        <v>1</v>
      </c>
      <c r="AR61" s="9" t="s">
        <v>128</v>
      </c>
      <c r="AS61" s="9" t="s">
        <v>328</v>
      </c>
      <c r="AT61" s="9" t="s">
        <v>260</v>
      </c>
    </row>
    <row r="62" spans="1:46">
      <c r="A62" s="9" t="s">
        <v>329</v>
      </c>
      <c r="B62" s="8">
        <v>46202</v>
      </c>
      <c r="C62" s="9" t="s">
        <v>6</v>
      </c>
      <c r="D62" s="9" t="s">
        <v>172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99</v>
      </c>
      <c r="J62" s="9" t="s">
        <v>116</v>
      </c>
      <c r="M62" s="9" t="s">
        <v>34</v>
      </c>
      <c r="O62" s="9" t="s">
        <v>33</v>
      </c>
      <c r="P62" s="9" t="s">
        <v>34</v>
      </c>
      <c r="Q62" s="9" t="s">
        <v>100</v>
      </c>
      <c r="R62" s="9" t="s">
        <v>330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101</v>
      </c>
      <c r="AN62" s="9" t="s">
        <v>35</v>
      </c>
      <c r="AO62" s="9">
        <v>40</v>
      </c>
      <c r="AP62" s="9" t="s">
        <v>127</v>
      </c>
      <c r="AQ62" s="9">
        <v>1</v>
      </c>
      <c r="AR62" s="9" t="s">
        <v>128</v>
      </c>
      <c r="AS62" s="9" t="s">
        <v>331</v>
      </c>
      <c r="AT62" s="9" t="s">
        <v>282</v>
      </c>
    </row>
    <row r="63" spans="1:46">
      <c r="A63" s="9" t="s">
        <v>332</v>
      </c>
      <c r="B63" s="8">
        <v>46202</v>
      </c>
      <c r="C63" s="9" t="s">
        <v>6</v>
      </c>
      <c r="D63" s="9" t="s">
        <v>172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99</v>
      </c>
      <c r="J63" s="9" t="s">
        <v>116</v>
      </c>
      <c r="M63" s="9" t="s">
        <v>34</v>
      </c>
      <c r="O63" s="9" t="s">
        <v>33</v>
      </c>
      <c r="P63" s="9" t="s">
        <v>34</v>
      </c>
      <c r="Q63" s="9" t="s">
        <v>100</v>
      </c>
      <c r="R63" s="9" t="s">
        <v>333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35</v>
      </c>
      <c r="AO63" s="9">
        <v>40</v>
      </c>
      <c r="AP63" s="9" t="s">
        <v>127</v>
      </c>
      <c r="AQ63" s="9">
        <v>1</v>
      </c>
      <c r="AR63" s="9" t="s">
        <v>128</v>
      </c>
      <c r="AS63" s="9" t="s">
        <v>334</v>
      </c>
      <c r="AT63" s="9" t="s">
        <v>289</v>
      </c>
    </row>
    <row r="64" spans="1:46">
      <c r="A64" s="9" t="s">
        <v>335</v>
      </c>
      <c r="B64" s="8">
        <v>46202</v>
      </c>
      <c r="C64" s="9" t="s">
        <v>6</v>
      </c>
      <c r="D64" s="9" t="s">
        <v>172</v>
      </c>
      <c r="E64" s="9" t="s">
        <v>31</v>
      </c>
      <c r="F64" s="9" t="s">
        <v>336</v>
      </c>
      <c r="G64" s="9" t="s">
        <v>33</v>
      </c>
      <c r="H64" s="9" t="s">
        <v>33</v>
      </c>
      <c r="I64" s="9" t="s">
        <v>99</v>
      </c>
      <c r="J64" s="9" t="s">
        <v>116</v>
      </c>
      <c r="M64" s="9" t="s">
        <v>34</v>
      </c>
      <c r="O64" s="9" t="s">
        <v>33</v>
      </c>
      <c r="P64" s="9" t="s">
        <v>34</v>
      </c>
      <c r="Q64" s="9" t="s">
        <v>100</v>
      </c>
      <c r="R64" s="9" t="s">
        <v>337</v>
      </c>
      <c r="S64" s="9" t="s">
        <v>338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35</v>
      </c>
      <c r="AO64" s="9">
        <v>60</v>
      </c>
      <c r="AP64" s="9" t="s">
        <v>127</v>
      </c>
      <c r="AQ64" s="9">
        <v>1</v>
      </c>
      <c r="AR64" s="9" t="s">
        <v>128</v>
      </c>
      <c r="AS64" s="9" t="s">
        <v>339</v>
      </c>
      <c r="AT64" s="9" t="s">
        <v>340</v>
      </c>
    </row>
    <row r="65" spans="1:46">
      <c r="A65" s="9" t="s">
        <v>341</v>
      </c>
      <c r="B65" s="8">
        <v>46202</v>
      </c>
      <c r="C65" s="9" t="s">
        <v>6</v>
      </c>
      <c r="D65" s="9" t="s">
        <v>172</v>
      </c>
      <c r="E65" s="9" t="s">
        <v>31</v>
      </c>
      <c r="F65" s="9" t="s">
        <v>342</v>
      </c>
      <c r="G65" s="9" t="s">
        <v>33</v>
      </c>
      <c r="H65" s="9" t="s">
        <v>33</v>
      </c>
      <c r="I65" s="9" t="s">
        <v>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100</v>
      </c>
      <c r="R65" s="9" t="s">
        <v>343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35</v>
      </c>
      <c r="AO65" s="9">
        <v>60</v>
      </c>
      <c r="AP65" s="9" t="s">
        <v>127</v>
      </c>
      <c r="AQ65" s="9">
        <v>1</v>
      </c>
      <c r="AR65" s="9" t="s">
        <v>128</v>
      </c>
      <c r="AS65" s="9" t="s">
        <v>344</v>
      </c>
      <c r="AT65" s="9" t="s">
        <v>345</v>
      </c>
    </row>
    <row r="66" spans="1:46">
      <c r="A66" s="9" t="s">
        <v>346</v>
      </c>
      <c r="B66" s="8">
        <v>46202</v>
      </c>
      <c r="C66" s="9" t="s">
        <v>6</v>
      </c>
      <c r="D66" s="9" t="s">
        <v>98</v>
      </c>
      <c r="E66" s="9" t="s">
        <v>108</v>
      </c>
      <c r="F66" s="9" t="s">
        <v>347</v>
      </c>
      <c r="G66" s="9" t="s">
        <v>33</v>
      </c>
      <c r="H66" s="9" t="s">
        <v>33</v>
      </c>
      <c r="I66" s="9" t="s">
        <v>99</v>
      </c>
      <c r="J66" s="9" t="s">
        <v>34</v>
      </c>
      <c r="K66" s="10">
        <v>25000000000</v>
      </c>
      <c r="M66" s="9" t="s">
        <v>132</v>
      </c>
      <c r="O66" s="9" t="s">
        <v>33</v>
      </c>
      <c r="P66" s="9" t="s">
        <v>34</v>
      </c>
      <c r="Q66" s="9" t="s">
        <v>100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75</v>
      </c>
      <c r="AP66" s="9" t="s">
        <v>103</v>
      </c>
      <c r="AQ66" s="9">
        <v>1</v>
      </c>
      <c r="AR66" s="9" t="s">
        <v>201</v>
      </c>
      <c r="AS66" s="9" t="s">
        <v>348</v>
      </c>
      <c r="AT66" s="9" t="s">
        <v>349</v>
      </c>
    </row>
    <row r="67" spans="1:46">
      <c r="A67" s="9" t="s">
        <v>350</v>
      </c>
      <c r="B67" s="8">
        <v>46202</v>
      </c>
      <c r="C67" s="9" t="s">
        <v>5</v>
      </c>
      <c r="D67" s="9" t="s">
        <v>98</v>
      </c>
      <c r="E67" s="9" t="s">
        <v>108</v>
      </c>
      <c r="F67" s="9" t="s">
        <v>143</v>
      </c>
      <c r="G67" s="9" t="s">
        <v>33</v>
      </c>
      <c r="H67" s="9" t="s">
        <v>33</v>
      </c>
      <c r="I67" s="9" t="s">
        <v>99</v>
      </c>
      <c r="J67" s="9" t="s">
        <v>34</v>
      </c>
      <c r="K67" s="10">
        <v>251000000000</v>
      </c>
      <c r="M67" s="9" t="s">
        <v>132</v>
      </c>
      <c r="O67" s="9" t="s">
        <v>33</v>
      </c>
      <c r="P67" s="9" t="s">
        <v>34</v>
      </c>
      <c r="Q67" s="9" t="s">
        <v>138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34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102</v>
      </c>
      <c r="AO67" s="9">
        <v>15</v>
      </c>
      <c r="AP67" s="9" t="s">
        <v>103</v>
      </c>
      <c r="AQ67" s="9">
        <v>1</v>
      </c>
      <c r="AR67" s="9" t="s">
        <v>299</v>
      </c>
      <c r="AS67" s="9" t="s">
        <v>351</v>
      </c>
      <c r="AT67" s="9" t="s">
        <v>352</v>
      </c>
    </row>
    <row r="68" spans="1:46">
      <c r="A68" s="9" t="s">
        <v>353</v>
      </c>
      <c r="B68" s="8">
        <v>46201</v>
      </c>
      <c r="C68" s="9" t="s">
        <v>6</v>
      </c>
      <c r="D68" s="9" t="s">
        <v>125</v>
      </c>
      <c r="E68" s="9" t="s">
        <v>43</v>
      </c>
      <c r="F68" s="9" t="s">
        <v>44</v>
      </c>
      <c r="G68" s="9" t="s">
        <v>33</v>
      </c>
      <c r="H68" s="9" t="s">
        <v>33</v>
      </c>
      <c r="I68" s="9" t="s">
        <v>99</v>
      </c>
      <c r="J68" s="9" t="s">
        <v>116</v>
      </c>
      <c r="K68" s="10">
        <v>20000000000</v>
      </c>
      <c r="M68" s="9" t="s">
        <v>38</v>
      </c>
      <c r="O68" s="9" t="s">
        <v>33</v>
      </c>
      <c r="P68" s="9" t="s">
        <v>34</v>
      </c>
      <c r="Q68" s="9" t="s">
        <v>100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35</v>
      </c>
      <c r="AO68" s="9">
        <v>90</v>
      </c>
      <c r="AP68" s="9" t="s">
        <v>127</v>
      </c>
      <c r="AQ68" s="9">
        <v>1</v>
      </c>
      <c r="AR68" s="9" t="s">
        <v>354</v>
      </c>
      <c r="AS68" s="9" t="s">
        <v>355</v>
      </c>
      <c r="AT68" s="9" t="s">
        <v>45</v>
      </c>
    </row>
    <row r="69" spans="1:46">
      <c r="A69" s="9" t="s">
        <v>356</v>
      </c>
      <c r="B69" s="8">
        <v>46201</v>
      </c>
      <c r="C69" s="9" t="s">
        <v>6</v>
      </c>
      <c r="D69" s="9" t="s">
        <v>98</v>
      </c>
      <c r="E69" s="9" t="s">
        <v>108</v>
      </c>
      <c r="F69" s="9" t="s">
        <v>137</v>
      </c>
      <c r="G69" s="9" t="s">
        <v>33</v>
      </c>
      <c r="H69" s="9" t="s">
        <v>33</v>
      </c>
      <c r="I69" s="9" t="s">
        <v>99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100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102</v>
      </c>
      <c r="AO69" s="9">
        <v>15</v>
      </c>
      <c r="AP69" s="9" t="s">
        <v>103</v>
      </c>
      <c r="AQ69" s="9">
        <v>1</v>
      </c>
      <c r="AR69" s="9" t="s">
        <v>201</v>
      </c>
      <c r="AS69" s="9" t="s">
        <v>357</v>
      </c>
      <c r="AT69" s="9" t="s">
        <v>358</v>
      </c>
    </row>
    <row r="70" spans="1:46">
      <c r="A70" s="9" t="s">
        <v>359</v>
      </c>
      <c r="B70" s="8">
        <v>46200</v>
      </c>
      <c r="C70" s="9" t="s">
        <v>4</v>
      </c>
      <c r="D70" s="9" t="s">
        <v>98</v>
      </c>
      <c r="E70" s="9" t="s">
        <v>108</v>
      </c>
      <c r="F70" s="9" t="s">
        <v>34</v>
      </c>
      <c r="G70" s="9" t="s">
        <v>34</v>
      </c>
      <c r="H70" s="9" t="s">
        <v>34</v>
      </c>
      <c r="I70" s="9" t="s">
        <v>99</v>
      </c>
      <c r="J70" s="9" t="s">
        <v>34</v>
      </c>
      <c r="M70" s="9" t="s">
        <v>34</v>
      </c>
      <c r="O70" s="9" t="s">
        <v>360</v>
      </c>
      <c r="P70" s="9" t="s">
        <v>34</v>
      </c>
      <c r="Q70" s="9" t="s">
        <v>111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102</v>
      </c>
      <c r="AO70" s="9">
        <v>0</v>
      </c>
      <c r="AP70" s="9" t="s">
        <v>103</v>
      </c>
      <c r="AQ70" s="9">
        <v>1</v>
      </c>
      <c r="AR70" s="9" t="s">
        <v>361</v>
      </c>
      <c r="AS70" s="9" t="s">
        <v>362</v>
      </c>
      <c r="AT70" s="9" t="s">
        <v>363</v>
      </c>
    </row>
    <row r="71" spans="1:46">
      <c r="A71" s="9" t="s">
        <v>364</v>
      </c>
      <c r="B71" s="8">
        <v>46199</v>
      </c>
      <c r="C71" s="9" t="s">
        <v>6</v>
      </c>
      <c r="D71" s="9" t="s">
        <v>172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99</v>
      </c>
      <c r="J71" s="9" t="s">
        <v>116</v>
      </c>
      <c r="M71" s="9" t="s">
        <v>34</v>
      </c>
      <c r="O71" s="9" t="s">
        <v>33</v>
      </c>
      <c r="P71" s="9" t="s">
        <v>34</v>
      </c>
      <c r="Q71" s="9" t="s">
        <v>100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35</v>
      </c>
      <c r="AO71" s="9">
        <v>40</v>
      </c>
      <c r="AP71" s="9" t="s">
        <v>127</v>
      </c>
      <c r="AQ71" s="9">
        <v>1</v>
      </c>
      <c r="AR71" s="9" t="s">
        <v>128</v>
      </c>
      <c r="AS71" s="9" t="s">
        <v>365</v>
      </c>
      <c r="AT71" s="9" t="s">
        <v>366</v>
      </c>
    </row>
    <row r="72" spans="1:46">
      <c r="A72" s="9" t="s">
        <v>367</v>
      </c>
      <c r="B72" s="8">
        <v>46199</v>
      </c>
      <c r="C72" s="9" t="s">
        <v>6</v>
      </c>
      <c r="D72" s="9" t="s">
        <v>172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99</v>
      </c>
      <c r="J72" s="9" t="s">
        <v>116</v>
      </c>
      <c r="M72" s="9" t="s">
        <v>34</v>
      </c>
      <c r="O72" s="9" t="s">
        <v>33</v>
      </c>
      <c r="P72" s="9" t="s">
        <v>34</v>
      </c>
      <c r="Q72" s="9" t="s">
        <v>100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35</v>
      </c>
      <c r="AO72" s="9">
        <v>40</v>
      </c>
      <c r="AP72" s="9" t="s">
        <v>127</v>
      </c>
      <c r="AQ72" s="9">
        <v>1</v>
      </c>
      <c r="AR72" s="9" t="s">
        <v>128</v>
      </c>
      <c r="AS72" s="9" t="s">
        <v>368</v>
      </c>
      <c r="AT72" s="9" t="s">
        <v>282</v>
      </c>
    </row>
    <row r="73" spans="1:46">
      <c r="A73" s="9" t="s">
        <v>369</v>
      </c>
      <c r="B73" s="8">
        <v>46199</v>
      </c>
      <c r="C73" s="9" t="s">
        <v>6</v>
      </c>
      <c r="D73" s="9" t="s">
        <v>172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99</v>
      </c>
      <c r="J73" s="9" t="s">
        <v>116</v>
      </c>
      <c r="M73" s="9" t="s">
        <v>34</v>
      </c>
      <c r="O73" s="9" t="s">
        <v>33</v>
      </c>
      <c r="P73" s="9" t="s">
        <v>34</v>
      </c>
      <c r="Q73" s="9" t="s">
        <v>100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35</v>
      </c>
      <c r="AO73" s="9">
        <v>40</v>
      </c>
      <c r="AP73" s="9" t="s">
        <v>127</v>
      </c>
      <c r="AQ73" s="9">
        <v>1</v>
      </c>
      <c r="AR73" s="9" t="s">
        <v>128</v>
      </c>
      <c r="AS73" s="9" t="s">
        <v>370</v>
      </c>
      <c r="AT73" s="9" t="s">
        <v>270</v>
      </c>
    </row>
    <row r="74" spans="1:46">
      <c r="A74" s="9" t="s">
        <v>371</v>
      </c>
      <c r="B74" s="8">
        <v>46199</v>
      </c>
      <c r="C74" s="9" t="s">
        <v>6</v>
      </c>
      <c r="D74" s="9" t="s">
        <v>172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9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100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35</v>
      </c>
      <c r="AO74" s="9">
        <v>40</v>
      </c>
      <c r="AP74" s="9" t="s">
        <v>127</v>
      </c>
      <c r="AQ74" s="9">
        <v>1</v>
      </c>
      <c r="AR74" s="9" t="s">
        <v>128</v>
      </c>
      <c r="AS74" s="9" t="s">
        <v>372</v>
      </c>
      <c r="AT74" s="9" t="s">
        <v>373</v>
      </c>
    </row>
    <row r="75" spans="1:46">
      <c r="A75" s="9" t="s">
        <v>374</v>
      </c>
      <c r="B75" s="8">
        <v>46199</v>
      </c>
      <c r="C75" s="9" t="s">
        <v>6</v>
      </c>
      <c r="D75" s="9" t="s">
        <v>172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9</v>
      </c>
      <c r="J75" s="9" t="s">
        <v>116</v>
      </c>
      <c r="M75" s="9" t="s">
        <v>34</v>
      </c>
      <c r="O75" s="9" t="s">
        <v>33</v>
      </c>
      <c r="P75" s="9" t="s">
        <v>34</v>
      </c>
      <c r="Q75" s="9" t="s">
        <v>100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35</v>
      </c>
      <c r="AO75" s="9">
        <v>40</v>
      </c>
      <c r="AP75" s="9" t="s">
        <v>127</v>
      </c>
      <c r="AQ75" s="9">
        <v>1</v>
      </c>
      <c r="AR75" s="9" t="s">
        <v>128</v>
      </c>
      <c r="AS75" s="9" t="s">
        <v>375</v>
      </c>
      <c r="AT75" s="9" t="s">
        <v>376</v>
      </c>
    </row>
    <row r="76" spans="1:46">
      <c r="A76" s="9" t="s">
        <v>377</v>
      </c>
      <c r="B76" s="8">
        <v>46199</v>
      </c>
      <c r="C76" s="9" t="s">
        <v>6</v>
      </c>
      <c r="D76" s="9" t="s">
        <v>172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99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100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35</v>
      </c>
      <c r="AO76" s="9">
        <v>40</v>
      </c>
      <c r="AP76" s="9" t="s">
        <v>127</v>
      </c>
      <c r="AQ76" s="9">
        <v>1</v>
      </c>
      <c r="AR76" s="9" t="s">
        <v>128</v>
      </c>
      <c r="AS76" s="9" t="s">
        <v>378</v>
      </c>
      <c r="AT76" s="9" t="s">
        <v>379</v>
      </c>
    </row>
    <row r="77" spans="1:46">
      <c r="A77" s="9" t="s">
        <v>380</v>
      </c>
      <c r="B77" s="8">
        <v>46199</v>
      </c>
      <c r="C77" s="9" t="s">
        <v>6</v>
      </c>
      <c r="D77" s="9" t="s">
        <v>172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99</v>
      </c>
      <c r="J77" s="9" t="s">
        <v>116</v>
      </c>
      <c r="M77" s="9" t="s">
        <v>34</v>
      </c>
      <c r="O77" s="9" t="s">
        <v>33</v>
      </c>
      <c r="P77" s="9" t="s">
        <v>34</v>
      </c>
      <c r="Q77" s="9" t="s">
        <v>100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35</v>
      </c>
      <c r="AO77" s="9">
        <v>40</v>
      </c>
      <c r="AP77" s="9" t="s">
        <v>127</v>
      </c>
      <c r="AQ77" s="9">
        <v>1</v>
      </c>
      <c r="AR77" s="9" t="s">
        <v>128</v>
      </c>
      <c r="AS77" s="9" t="s">
        <v>381</v>
      </c>
      <c r="AT77" s="9" t="s">
        <v>382</v>
      </c>
    </row>
    <row r="78" spans="1:46">
      <c r="A78" s="9" t="s">
        <v>383</v>
      </c>
      <c r="B78" s="8">
        <v>46197</v>
      </c>
      <c r="C78" s="9" t="s">
        <v>6</v>
      </c>
      <c r="D78" s="9" t="s">
        <v>98</v>
      </c>
      <c r="E78" s="9" t="s">
        <v>254</v>
      </c>
      <c r="F78" s="9" t="s">
        <v>384</v>
      </c>
      <c r="G78" s="9" t="s">
        <v>33</v>
      </c>
      <c r="H78" s="9" t="s">
        <v>33</v>
      </c>
      <c r="I78" s="9" t="s">
        <v>99</v>
      </c>
      <c r="J78" s="9" t="s">
        <v>116</v>
      </c>
      <c r="K78" s="10">
        <v>5000000000</v>
      </c>
      <c r="M78" s="9" t="s">
        <v>38</v>
      </c>
      <c r="O78" s="9" t="s">
        <v>33</v>
      </c>
      <c r="Q78" s="9" t="s">
        <v>100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385</v>
      </c>
      <c r="AK78" s="9" t="s">
        <v>34</v>
      </c>
      <c r="AL78" s="9" t="s">
        <v>34</v>
      </c>
      <c r="AM78" s="9" t="s">
        <v>101</v>
      </c>
      <c r="AN78" s="9" t="s">
        <v>35</v>
      </c>
      <c r="AO78" s="9">
        <v>75</v>
      </c>
      <c r="AP78" s="9" t="s">
        <v>103</v>
      </c>
      <c r="AQ78" s="9">
        <v>1</v>
      </c>
      <c r="AR78" s="9" t="s">
        <v>386</v>
      </c>
      <c r="AS78" s="9" t="s">
        <v>387</v>
      </c>
      <c r="AT78" s="9" t="s">
        <v>388</v>
      </c>
    </row>
    <row r="79" spans="1:46">
      <c r="A79" s="9" t="s">
        <v>389</v>
      </c>
      <c r="B79" s="8">
        <v>46196</v>
      </c>
      <c r="C79" s="9" t="s">
        <v>6</v>
      </c>
      <c r="D79" s="9" t="s">
        <v>125</v>
      </c>
      <c r="E79" s="9" t="s">
        <v>31</v>
      </c>
      <c r="F79" s="9" t="s">
        <v>46</v>
      </c>
      <c r="G79" s="9" t="s">
        <v>33</v>
      </c>
      <c r="H79" s="9" t="s">
        <v>33</v>
      </c>
      <c r="I79" s="9" t="s">
        <v>99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100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35</v>
      </c>
      <c r="AO79" s="9">
        <v>80</v>
      </c>
      <c r="AP79" s="9" t="s">
        <v>127</v>
      </c>
      <c r="AQ79" s="9">
        <v>1</v>
      </c>
      <c r="AR79" s="9" t="s">
        <v>390</v>
      </c>
      <c r="AS79" s="9" t="s">
        <v>391</v>
      </c>
      <c r="AT79" s="9" t="s">
        <v>47</v>
      </c>
    </row>
    <row r="80" spans="1:46">
      <c r="A80" s="9" t="s">
        <v>392</v>
      </c>
      <c r="B80" s="8">
        <v>46192</v>
      </c>
      <c r="C80" s="9" t="s">
        <v>6</v>
      </c>
      <c r="D80" s="9" t="s">
        <v>125</v>
      </c>
      <c r="E80" s="9" t="s">
        <v>40</v>
      </c>
      <c r="F80" s="9" t="s">
        <v>48</v>
      </c>
      <c r="G80" s="9" t="s">
        <v>33</v>
      </c>
      <c r="H80" s="9" t="s">
        <v>33</v>
      </c>
      <c r="I80" s="9" t="s">
        <v>168</v>
      </c>
      <c r="J80" s="9" t="s">
        <v>116</v>
      </c>
      <c r="K80" s="10">
        <v>60000000000</v>
      </c>
      <c r="M80" s="9" t="s">
        <v>38</v>
      </c>
      <c r="O80" s="9" t="s">
        <v>33</v>
      </c>
      <c r="P80" s="9" t="s">
        <v>34</v>
      </c>
      <c r="Q80" s="9" t="s">
        <v>100</v>
      </c>
      <c r="R80" s="9" t="s">
        <v>393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39</v>
      </c>
      <c r="AO80" s="9">
        <v>100</v>
      </c>
      <c r="AP80" s="9" t="s">
        <v>127</v>
      </c>
      <c r="AQ80" s="9">
        <v>3</v>
      </c>
      <c r="AR80" s="9" t="s">
        <v>394</v>
      </c>
      <c r="AS80" s="9" t="s">
        <v>395</v>
      </c>
      <c r="AT80" s="9" t="s">
        <v>49</v>
      </c>
    </row>
    <row r="81" spans="1:46">
      <c r="A81" s="9" t="s">
        <v>396</v>
      </c>
      <c r="B81" s="8">
        <v>46183</v>
      </c>
      <c r="C81" s="9" t="s">
        <v>6</v>
      </c>
      <c r="D81" s="9" t="s">
        <v>98</v>
      </c>
      <c r="E81" s="9" t="s">
        <v>40</v>
      </c>
      <c r="F81" s="9" t="s">
        <v>397</v>
      </c>
      <c r="G81" s="9" t="s">
        <v>33</v>
      </c>
      <c r="H81" s="9" t="s">
        <v>33</v>
      </c>
      <c r="I81" s="9" t="s">
        <v>99</v>
      </c>
      <c r="J81" s="9" t="s">
        <v>34</v>
      </c>
      <c r="K81" s="10">
        <v>3000000000</v>
      </c>
      <c r="M81" s="9" t="s">
        <v>398</v>
      </c>
      <c r="O81" s="9" t="s">
        <v>33</v>
      </c>
      <c r="P81" s="9" t="s">
        <v>34</v>
      </c>
      <c r="Q81" s="9" t="s">
        <v>100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35</v>
      </c>
      <c r="AO81" s="9">
        <v>67</v>
      </c>
      <c r="AP81" s="9" t="s">
        <v>103</v>
      </c>
      <c r="AQ81" s="9">
        <v>1</v>
      </c>
      <c r="AR81" s="9" t="s">
        <v>399</v>
      </c>
      <c r="AS81" s="9" t="s">
        <v>400</v>
      </c>
      <c r="AT81" s="9" t="s">
        <v>401</v>
      </c>
    </row>
    <row r="82" spans="1:46">
      <c r="A82" s="9" t="s">
        <v>402</v>
      </c>
      <c r="B82" s="8">
        <v>46177</v>
      </c>
      <c r="C82" s="9" t="s">
        <v>4</v>
      </c>
      <c r="D82" s="9" t="s">
        <v>403</v>
      </c>
      <c r="E82" s="9" t="s">
        <v>404</v>
      </c>
      <c r="F82" s="9" t="s">
        <v>405</v>
      </c>
      <c r="G82" s="9" t="s">
        <v>406</v>
      </c>
      <c r="H82" s="9" t="s">
        <v>407</v>
      </c>
      <c r="I82" s="9" t="s">
        <v>99</v>
      </c>
      <c r="J82" s="9" t="s">
        <v>116</v>
      </c>
      <c r="M82" s="9" t="s">
        <v>34</v>
      </c>
      <c r="O82" s="9" t="s">
        <v>360</v>
      </c>
      <c r="P82" s="9" t="s">
        <v>34</v>
      </c>
      <c r="Q82" s="9" t="s">
        <v>111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35</v>
      </c>
      <c r="AO82" s="9">
        <v>65</v>
      </c>
      <c r="AP82" s="9" t="s">
        <v>103</v>
      </c>
      <c r="AQ82" s="9">
        <v>10</v>
      </c>
      <c r="AR82" s="9" t="s">
        <v>324</v>
      </c>
      <c r="AS82" s="9" t="s">
        <v>408</v>
      </c>
      <c r="AT82" s="9" t="s">
        <v>409</v>
      </c>
    </row>
    <row r="83" spans="1:46">
      <c r="A83" s="9" t="s">
        <v>410</v>
      </c>
      <c r="B83" s="8">
        <v>46175</v>
      </c>
      <c r="C83" s="9" t="s">
        <v>4</v>
      </c>
      <c r="D83" s="9" t="s">
        <v>125</v>
      </c>
      <c r="E83" s="9" t="s">
        <v>50</v>
      </c>
      <c r="F83" s="9" t="s">
        <v>51</v>
      </c>
      <c r="G83" s="9" t="s">
        <v>52</v>
      </c>
      <c r="H83" s="9" t="s">
        <v>48</v>
      </c>
      <c r="I83" s="9" t="s">
        <v>168</v>
      </c>
      <c r="J83" s="9" t="s">
        <v>116</v>
      </c>
      <c r="K83" s="10">
        <v>35000000000</v>
      </c>
      <c r="M83" s="9" t="s">
        <v>38</v>
      </c>
      <c r="O83" s="9" t="s">
        <v>34</v>
      </c>
      <c r="P83" s="9" t="s">
        <v>34</v>
      </c>
      <c r="Q83" s="9" t="s">
        <v>111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39</v>
      </c>
      <c r="AO83" s="9">
        <v>100</v>
      </c>
      <c r="AP83" s="9" t="s">
        <v>127</v>
      </c>
      <c r="AQ83" s="9">
        <v>3</v>
      </c>
      <c r="AR83" s="9" t="s">
        <v>394</v>
      </c>
      <c r="AS83" s="9" t="s">
        <v>411</v>
      </c>
      <c r="AT83" s="9" t="s">
        <v>53</v>
      </c>
    </row>
    <row r="84" spans="1:46">
      <c r="A84" s="9" t="s">
        <v>412</v>
      </c>
      <c r="B84" s="8">
        <v>46170</v>
      </c>
      <c r="C84" s="9" t="s">
        <v>4</v>
      </c>
      <c r="D84" s="9" t="s">
        <v>98</v>
      </c>
      <c r="E84" s="9" t="s">
        <v>413</v>
      </c>
      <c r="F84" s="9" t="s">
        <v>414</v>
      </c>
      <c r="G84" s="9" t="s">
        <v>48</v>
      </c>
      <c r="H84" s="9" t="s">
        <v>34</v>
      </c>
      <c r="I84" s="9" t="s">
        <v>99</v>
      </c>
      <c r="J84" s="9" t="s">
        <v>34</v>
      </c>
      <c r="M84" s="9" t="s">
        <v>34</v>
      </c>
      <c r="O84" s="9" t="s">
        <v>34</v>
      </c>
      <c r="P84" s="9" t="s">
        <v>34</v>
      </c>
      <c r="Q84" s="9" t="s">
        <v>111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35</v>
      </c>
      <c r="AO84" s="9">
        <v>67</v>
      </c>
      <c r="AP84" s="9" t="s">
        <v>103</v>
      </c>
      <c r="AQ84" s="9">
        <v>1</v>
      </c>
      <c r="AR84" s="9" t="s">
        <v>299</v>
      </c>
      <c r="AS84" s="9" t="s">
        <v>415</v>
      </c>
      <c r="AT84" s="9" t="s">
        <v>416</v>
      </c>
    </row>
    <row r="85" spans="1:46">
      <c r="A85" s="9" t="s">
        <v>417</v>
      </c>
      <c r="B85" s="8">
        <v>46167</v>
      </c>
      <c r="C85" s="9" t="s">
        <v>4</v>
      </c>
      <c r="D85" s="9" t="s">
        <v>98</v>
      </c>
      <c r="E85" s="9" t="s">
        <v>108</v>
      </c>
      <c r="F85" s="9" t="s">
        <v>34</v>
      </c>
      <c r="G85" s="9" t="s">
        <v>34</v>
      </c>
      <c r="H85" s="9" t="s">
        <v>34</v>
      </c>
      <c r="I85" s="9" t="s">
        <v>99</v>
      </c>
      <c r="J85" s="9" t="s">
        <v>34</v>
      </c>
      <c r="M85" s="9" t="s">
        <v>34</v>
      </c>
      <c r="O85" s="9" t="s">
        <v>360</v>
      </c>
      <c r="P85" s="9" t="s">
        <v>34</v>
      </c>
      <c r="Q85" s="9" t="s">
        <v>111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102</v>
      </c>
      <c r="AO85" s="9">
        <v>0</v>
      </c>
      <c r="AP85" s="9" t="s">
        <v>103</v>
      </c>
      <c r="AQ85" s="9">
        <v>1</v>
      </c>
      <c r="AR85" s="9" t="s">
        <v>299</v>
      </c>
      <c r="AS85" s="9" t="s">
        <v>418</v>
      </c>
      <c r="AT85" s="9" t="s">
        <v>419</v>
      </c>
    </row>
    <row r="86" spans="1:46">
      <c r="A86" s="9" t="s">
        <v>420</v>
      </c>
      <c r="B86" s="8">
        <v>46162</v>
      </c>
      <c r="C86" s="9" t="s">
        <v>5</v>
      </c>
      <c r="D86" s="9" t="s">
        <v>98</v>
      </c>
      <c r="E86" s="9" t="s">
        <v>108</v>
      </c>
      <c r="F86" s="9" t="s">
        <v>405</v>
      </c>
      <c r="G86" s="9" t="s">
        <v>33</v>
      </c>
      <c r="H86" s="9" t="s">
        <v>33</v>
      </c>
      <c r="I86" s="9" t="s">
        <v>99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144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34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102</v>
      </c>
      <c r="AO86" s="9">
        <v>15</v>
      </c>
      <c r="AP86" s="9" t="s">
        <v>103</v>
      </c>
      <c r="AQ86" s="9">
        <v>2</v>
      </c>
      <c r="AR86" s="9" t="s">
        <v>324</v>
      </c>
      <c r="AS86" s="9" t="s">
        <v>421</v>
      </c>
      <c r="AT86" s="9" t="s">
        <v>422</v>
      </c>
    </row>
    <row r="87" spans="1:46">
      <c r="A87" s="9" t="s">
        <v>423</v>
      </c>
      <c r="B87" s="8">
        <v>46157</v>
      </c>
      <c r="C87" s="9" t="s">
        <v>5</v>
      </c>
      <c r="D87" s="9" t="s">
        <v>98</v>
      </c>
      <c r="E87" s="9" t="s">
        <v>108</v>
      </c>
      <c r="F87" s="9" t="s">
        <v>405</v>
      </c>
      <c r="G87" s="9" t="s">
        <v>33</v>
      </c>
      <c r="H87" s="9" t="s">
        <v>33</v>
      </c>
      <c r="I87" s="9" t="s">
        <v>9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144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34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102</v>
      </c>
      <c r="AO87" s="9">
        <v>15</v>
      </c>
      <c r="AP87" s="9" t="s">
        <v>103</v>
      </c>
      <c r="AQ87" s="9">
        <v>1</v>
      </c>
      <c r="AR87" s="9" t="s">
        <v>299</v>
      </c>
      <c r="AS87" s="9" t="s">
        <v>424</v>
      </c>
      <c r="AT87" s="9" t="s">
        <v>425</v>
      </c>
    </row>
    <row r="88" spans="1:46">
      <c r="A88" s="9" t="s">
        <v>426</v>
      </c>
      <c r="B88" s="8">
        <v>46157</v>
      </c>
      <c r="C88" s="9" t="s">
        <v>4</v>
      </c>
      <c r="D88" s="9" t="s">
        <v>98</v>
      </c>
      <c r="E88" s="9" t="s">
        <v>108</v>
      </c>
      <c r="F88" s="9" t="s">
        <v>34</v>
      </c>
      <c r="G88" s="9" t="s">
        <v>34</v>
      </c>
      <c r="H88" s="9" t="s">
        <v>34</v>
      </c>
      <c r="I88" s="9" t="s">
        <v>99</v>
      </c>
      <c r="J88" s="9" t="s">
        <v>34</v>
      </c>
      <c r="M88" s="9" t="s">
        <v>34</v>
      </c>
      <c r="O88" s="9" t="s">
        <v>360</v>
      </c>
      <c r="P88" s="9" t="s">
        <v>34</v>
      </c>
      <c r="Q88" s="9" t="s">
        <v>111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102</v>
      </c>
      <c r="AO88" s="9">
        <v>0</v>
      </c>
      <c r="AP88" s="9" t="s">
        <v>103</v>
      </c>
      <c r="AQ88" s="9">
        <v>1</v>
      </c>
      <c r="AR88" s="9" t="s">
        <v>399</v>
      </c>
      <c r="AS88" s="9" t="s">
        <v>427</v>
      </c>
      <c r="AT88" s="9" t="s">
        <v>428</v>
      </c>
    </row>
    <row r="89" spans="1:46">
      <c r="A89" s="9" t="s">
        <v>429</v>
      </c>
      <c r="B89" s="8">
        <v>46150</v>
      </c>
      <c r="C89" s="9" t="s">
        <v>6</v>
      </c>
      <c r="D89" s="9" t="s">
        <v>98</v>
      </c>
      <c r="E89" s="9" t="s">
        <v>108</v>
      </c>
      <c r="F89" s="9" t="s">
        <v>430</v>
      </c>
      <c r="G89" s="9" t="s">
        <v>33</v>
      </c>
      <c r="H89" s="9" t="s">
        <v>33</v>
      </c>
      <c r="I89" s="9" t="s">
        <v>99</v>
      </c>
      <c r="J89" s="9" t="s">
        <v>116</v>
      </c>
      <c r="K89" s="10">
        <v>1900000000</v>
      </c>
      <c r="M89" s="9" t="s">
        <v>38</v>
      </c>
      <c r="O89" s="9" t="s">
        <v>33</v>
      </c>
      <c r="P89" s="9" t="s">
        <v>34</v>
      </c>
      <c r="Q89" s="9" t="s">
        <v>100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102</v>
      </c>
      <c r="AO89" s="9">
        <v>7</v>
      </c>
      <c r="AP89" s="9" t="s">
        <v>103</v>
      </c>
      <c r="AQ89" s="9">
        <v>1</v>
      </c>
      <c r="AR89" s="9" t="s">
        <v>399</v>
      </c>
      <c r="AS89" s="9" t="s">
        <v>431</v>
      </c>
      <c r="AT89" s="9" t="s">
        <v>432</v>
      </c>
    </row>
    <row r="90" spans="1:46">
      <c r="A90" s="9" t="s">
        <v>433</v>
      </c>
      <c r="B90" s="8">
        <v>46149</v>
      </c>
      <c r="C90" s="9" t="s">
        <v>4</v>
      </c>
      <c r="D90" s="9" t="s">
        <v>98</v>
      </c>
      <c r="E90" s="9" t="s">
        <v>108</v>
      </c>
      <c r="F90" s="9" t="s">
        <v>34</v>
      </c>
      <c r="G90" s="9" t="s">
        <v>34</v>
      </c>
      <c r="H90" s="9" t="s">
        <v>34</v>
      </c>
      <c r="I90" s="9" t="s">
        <v>99</v>
      </c>
      <c r="J90" s="9" t="s">
        <v>34</v>
      </c>
      <c r="M90" s="9" t="s">
        <v>34</v>
      </c>
      <c r="O90" s="9" t="s">
        <v>34</v>
      </c>
      <c r="P90" s="9" t="s">
        <v>34</v>
      </c>
      <c r="Q90" s="9" t="s">
        <v>111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35</v>
      </c>
      <c r="AO90" s="9">
        <v>40</v>
      </c>
      <c r="AP90" s="9" t="s">
        <v>103</v>
      </c>
      <c r="AQ90" s="9">
        <v>1</v>
      </c>
      <c r="AR90" s="9" t="s">
        <v>434</v>
      </c>
      <c r="AS90" s="9" t="s">
        <v>435</v>
      </c>
      <c r="AT90" s="9" t="s">
        <v>436</v>
      </c>
    </row>
    <row r="91" spans="1:46">
      <c r="A91" s="9" t="s">
        <v>437</v>
      </c>
      <c r="B91" s="8">
        <v>46147</v>
      </c>
      <c r="C91" s="9" t="s">
        <v>5</v>
      </c>
      <c r="D91" s="9" t="s">
        <v>98</v>
      </c>
      <c r="E91" s="9" t="s">
        <v>108</v>
      </c>
      <c r="F91" s="9" t="s">
        <v>48</v>
      </c>
      <c r="G91" s="9" t="s">
        <v>33</v>
      </c>
      <c r="H91" s="9" t="s">
        <v>33</v>
      </c>
      <c r="I91" s="9" t="s">
        <v>99</v>
      </c>
      <c r="J91" s="9" t="s">
        <v>116</v>
      </c>
      <c r="K91" s="10">
        <v>50000000000</v>
      </c>
      <c r="M91" s="9" t="s">
        <v>38</v>
      </c>
      <c r="O91" s="9" t="s">
        <v>33</v>
      </c>
      <c r="P91" s="9" t="s">
        <v>34</v>
      </c>
      <c r="Q91" s="9" t="s">
        <v>144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102</v>
      </c>
      <c r="AO91" s="9">
        <v>15</v>
      </c>
      <c r="AP91" s="9" t="s">
        <v>103</v>
      </c>
      <c r="AQ91" s="9">
        <v>2</v>
      </c>
      <c r="AR91" s="9" t="s">
        <v>324</v>
      </c>
      <c r="AS91" s="9" t="s">
        <v>438</v>
      </c>
      <c r="AT91" s="9" t="s">
        <v>439</v>
      </c>
    </row>
    <row r="92" spans="1:46">
      <c r="A92" s="9" t="s">
        <v>440</v>
      </c>
      <c r="B92" s="8">
        <v>46146</v>
      </c>
      <c r="C92" s="9" t="s">
        <v>5</v>
      </c>
      <c r="D92" s="9" t="s">
        <v>98</v>
      </c>
      <c r="E92" s="9" t="s">
        <v>108</v>
      </c>
      <c r="F92" s="9" t="s">
        <v>48</v>
      </c>
      <c r="G92" s="9" t="s">
        <v>33</v>
      </c>
      <c r="H92" s="9" t="s">
        <v>33</v>
      </c>
      <c r="I92" s="9" t="s">
        <v>441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144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102</v>
      </c>
      <c r="AO92" s="9">
        <v>15</v>
      </c>
      <c r="AP92" s="9" t="s">
        <v>103</v>
      </c>
      <c r="AQ92" s="9">
        <v>1</v>
      </c>
      <c r="AR92" s="9" t="s">
        <v>442</v>
      </c>
      <c r="AS92" s="9" t="s">
        <v>443</v>
      </c>
      <c r="AT92" s="9" t="s">
        <v>444</v>
      </c>
    </row>
    <row r="93" spans="1:46">
      <c r="A93" s="9" t="s">
        <v>445</v>
      </c>
      <c r="B93" s="8">
        <v>46139</v>
      </c>
      <c r="C93" s="9" t="s">
        <v>4</v>
      </c>
      <c r="D93" s="9" t="s">
        <v>98</v>
      </c>
      <c r="E93" s="9" t="s">
        <v>108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360</v>
      </c>
      <c r="P93" s="9" t="s">
        <v>34</v>
      </c>
      <c r="Q93" s="9" t="s">
        <v>111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102</v>
      </c>
      <c r="AO93" s="9">
        <v>0</v>
      </c>
      <c r="AP93" s="9" t="s">
        <v>103</v>
      </c>
      <c r="AQ93" s="9">
        <v>1</v>
      </c>
      <c r="AR93" s="9" t="s">
        <v>139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108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34</v>
      </c>
      <c r="M94" s="9" t="s">
        <v>34</v>
      </c>
      <c r="O94" s="9" t="s">
        <v>360</v>
      </c>
      <c r="P94" s="9" t="s">
        <v>34</v>
      </c>
      <c r="Q94" s="9" t="s">
        <v>111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102</v>
      </c>
      <c r="AO94" s="9">
        <v>0</v>
      </c>
      <c r="AP94" s="9" t="s">
        <v>103</v>
      </c>
      <c r="AQ94" s="9">
        <v>1</v>
      </c>
      <c r="AR94" s="9" t="s">
        <v>324</v>
      </c>
      <c r="AS94" s="9" t="s">
        <v>449</v>
      </c>
      <c r="AT94" s="9" t="s">
        <v>450</v>
      </c>
    </row>
    <row r="95" spans="1:46">
      <c r="A95" s="9" t="s">
        <v>451</v>
      </c>
      <c r="B95" s="8">
        <v>46139</v>
      </c>
      <c r="C95" s="9" t="s">
        <v>4</v>
      </c>
      <c r="D95" s="9" t="s">
        <v>98</v>
      </c>
      <c r="E95" s="9" t="s">
        <v>108</v>
      </c>
      <c r="F95" s="9" t="s">
        <v>34</v>
      </c>
      <c r="G95" s="9" t="s">
        <v>34</v>
      </c>
      <c r="H95" s="9" t="s">
        <v>34</v>
      </c>
      <c r="I95" s="9" t="s">
        <v>9</v>
      </c>
      <c r="J95" s="9" t="s">
        <v>116</v>
      </c>
      <c r="M95" s="9" t="s">
        <v>34</v>
      </c>
      <c r="O95" s="9" t="s">
        <v>360</v>
      </c>
      <c r="P95" s="9" t="s">
        <v>34</v>
      </c>
      <c r="Q95" s="9" t="s">
        <v>111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102</v>
      </c>
      <c r="AO95" s="9">
        <v>0</v>
      </c>
      <c r="AP95" s="9" t="s">
        <v>103</v>
      </c>
      <c r="AQ95" s="9">
        <v>3</v>
      </c>
      <c r="AR95" s="9" t="s">
        <v>452</v>
      </c>
      <c r="AS95" s="9" t="s">
        <v>453</v>
      </c>
      <c r="AT95" s="9" t="s">
        <v>454</v>
      </c>
    </row>
    <row r="96" spans="1:46">
      <c r="A96" s="9" t="s">
        <v>455</v>
      </c>
      <c r="B96" s="8">
        <v>46139</v>
      </c>
      <c r="C96" s="9" t="s">
        <v>4</v>
      </c>
      <c r="D96" s="9" t="s">
        <v>98</v>
      </c>
      <c r="E96" s="9" t="s">
        <v>108</v>
      </c>
      <c r="F96" s="9" t="s">
        <v>34</v>
      </c>
      <c r="G96" s="9" t="s">
        <v>34</v>
      </c>
      <c r="H96" s="9" t="s">
        <v>34</v>
      </c>
      <c r="I96" s="9" t="s">
        <v>9</v>
      </c>
      <c r="J96" s="9" t="s">
        <v>34</v>
      </c>
      <c r="M96" s="9" t="s">
        <v>34</v>
      </c>
      <c r="O96" s="9" t="s">
        <v>360</v>
      </c>
      <c r="P96" s="9" t="s">
        <v>34</v>
      </c>
      <c r="Q96" s="9" t="s">
        <v>111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102</v>
      </c>
      <c r="AO96" s="9">
        <v>0</v>
      </c>
      <c r="AP96" s="9" t="s">
        <v>103</v>
      </c>
      <c r="AQ96" s="9">
        <v>1</v>
      </c>
      <c r="AR96" s="9" t="s">
        <v>456</v>
      </c>
      <c r="AS96" s="9" t="s">
        <v>457</v>
      </c>
      <c r="AT96" s="9" t="s">
        <v>458</v>
      </c>
    </row>
    <row r="97" spans="1:46">
      <c r="A97" s="9" t="s">
        <v>459</v>
      </c>
      <c r="B97" s="8">
        <v>46139</v>
      </c>
      <c r="C97" s="9" t="s">
        <v>4</v>
      </c>
      <c r="D97" s="9" t="s">
        <v>98</v>
      </c>
      <c r="E97" s="9" t="s">
        <v>108</v>
      </c>
      <c r="F97" s="9" t="s">
        <v>34</v>
      </c>
      <c r="G97" s="9" t="s">
        <v>34</v>
      </c>
      <c r="H97" s="9" t="s">
        <v>34</v>
      </c>
      <c r="I97" s="9" t="s">
        <v>9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111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102</v>
      </c>
      <c r="AO97" s="9">
        <v>0</v>
      </c>
      <c r="AP97" s="9" t="s">
        <v>103</v>
      </c>
      <c r="AQ97" s="9">
        <v>1</v>
      </c>
      <c r="AR97" s="9" t="s">
        <v>460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6</v>
      </c>
      <c r="D98" s="9" t="s">
        <v>98</v>
      </c>
      <c r="E98" s="9" t="s">
        <v>108</v>
      </c>
      <c r="F98" s="9" t="s">
        <v>405</v>
      </c>
      <c r="G98" s="9" t="s">
        <v>33</v>
      </c>
      <c r="H98" s="9" t="s">
        <v>33</v>
      </c>
      <c r="I98" s="9" t="s">
        <v>9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100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102</v>
      </c>
      <c r="AO98" s="9">
        <v>15</v>
      </c>
      <c r="AP98" s="9" t="s">
        <v>103</v>
      </c>
      <c r="AQ98" s="9">
        <v>1</v>
      </c>
      <c r="AR98" s="9" t="s">
        <v>250</v>
      </c>
      <c r="AS98" s="9" t="s">
        <v>464</v>
      </c>
      <c r="AT98" s="9" t="s">
        <v>465</v>
      </c>
    </row>
    <row r="99" spans="1:46">
      <c r="A99" s="9" t="s">
        <v>466</v>
      </c>
      <c r="B99" s="8">
        <v>46132</v>
      </c>
      <c r="C99" s="9" t="s">
        <v>5</v>
      </c>
      <c r="D99" s="9" t="s">
        <v>98</v>
      </c>
      <c r="E99" s="9" t="s">
        <v>108</v>
      </c>
      <c r="F99" s="9" t="s">
        <v>48</v>
      </c>
      <c r="G99" s="9" t="s">
        <v>33</v>
      </c>
      <c r="H99" s="9" t="s">
        <v>33</v>
      </c>
      <c r="I99" s="9" t="s">
        <v>99</v>
      </c>
      <c r="J99" s="9" t="s">
        <v>116</v>
      </c>
      <c r="M99" s="9" t="s">
        <v>34</v>
      </c>
      <c r="O99" s="9" t="s">
        <v>33</v>
      </c>
      <c r="P99" s="9" t="s">
        <v>34</v>
      </c>
      <c r="Q99" s="9" t="s">
        <v>144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101</v>
      </c>
      <c r="AN99" s="9" t="s">
        <v>102</v>
      </c>
      <c r="AO99" s="9">
        <v>15</v>
      </c>
      <c r="AP99" s="9" t="s">
        <v>103</v>
      </c>
      <c r="AQ99" s="9">
        <v>2</v>
      </c>
      <c r="AR99" s="9" t="s">
        <v>467</v>
      </c>
      <c r="AS99" s="9" t="s">
        <v>468</v>
      </c>
      <c r="AT99" s="9" t="s">
        <v>469</v>
      </c>
    </row>
    <row r="100" spans="1:46">
      <c r="A100" s="9" t="s">
        <v>470</v>
      </c>
      <c r="B100" s="8">
        <v>46132</v>
      </c>
      <c r="C100" s="9" t="s">
        <v>5</v>
      </c>
      <c r="D100" s="9" t="s">
        <v>98</v>
      </c>
      <c r="E100" s="9" t="s">
        <v>108</v>
      </c>
      <c r="F100" s="9" t="s">
        <v>48</v>
      </c>
      <c r="G100" s="9" t="s">
        <v>33</v>
      </c>
      <c r="H100" s="9" t="s">
        <v>33</v>
      </c>
      <c r="I100" s="9" t="s">
        <v>99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144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101</v>
      </c>
      <c r="AN100" s="9" t="s">
        <v>102</v>
      </c>
      <c r="AO100" s="9">
        <v>15</v>
      </c>
      <c r="AP100" s="9" t="s">
        <v>103</v>
      </c>
      <c r="AQ100" s="9">
        <v>1</v>
      </c>
      <c r="AR100" s="9" t="s">
        <v>471</v>
      </c>
      <c r="AS100" s="9" t="s">
        <v>472</v>
      </c>
      <c r="AT100" s="9" t="s">
        <v>473</v>
      </c>
    </row>
    <row r="101" spans="1:46">
      <c r="A101" s="9" t="s">
        <v>474</v>
      </c>
      <c r="B101" s="8">
        <v>46132</v>
      </c>
      <c r="C101" s="9" t="s">
        <v>6</v>
      </c>
      <c r="D101" s="9" t="s">
        <v>98</v>
      </c>
      <c r="E101" s="9" t="s">
        <v>108</v>
      </c>
      <c r="F101" s="9" t="s">
        <v>405</v>
      </c>
      <c r="G101" s="9" t="s">
        <v>33</v>
      </c>
      <c r="H101" s="9" t="s">
        <v>33</v>
      </c>
      <c r="I101" s="9" t="s">
        <v>99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100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101</v>
      </c>
      <c r="AN101" s="9" t="s">
        <v>35</v>
      </c>
      <c r="AO101" s="9">
        <v>55</v>
      </c>
      <c r="AP101" s="9" t="s">
        <v>103</v>
      </c>
      <c r="AQ101" s="9">
        <v>1</v>
      </c>
      <c r="AR101" s="9" t="s">
        <v>475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46128</v>
      </c>
      <c r="C102" s="9" t="s">
        <v>4</v>
      </c>
      <c r="D102" s="9" t="s">
        <v>98</v>
      </c>
      <c r="E102" s="9" t="s">
        <v>108</v>
      </c>
      <c r="F102" s="9" t="s">
        <v>479</v>
      </c>
      <c r="G102" s="9" t="s">
        <v>34</v>
      </c>
      <c r="H102" s="9" t="s">
        <v>480</v>
      </c>
      <c r="I102" s="9" t="s">
        <v>9</v>
      </c>
      <c r="J102" s="9" t="s">
        <v>116</v>
      </c>
      <c r="K102" s="10">
        <v>21200000000</v>
      </c>
      <c r="M102" s="9" t="s">
        <v>38</v>
      </c>
      <c r="N102" s="11">
        <v>0.25</v>
      </c>
      <c r="O102" s="9" t="s">
        <v>360</v>
      </c>
      <c r="P102" s="9" t="s">
        <v>34</v>
      </c>
      <c r="Q102" s="9" t="s">
        <v>111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101</v>
      </c>
      <c r="AN102" s="9" t="s">
        <v>35</v>
      </c>
      <c r="AO102" s="9">
        <v>60</v>
      </c>
      <c r="AP102" s="9" t="s">
        <v>103</v>
      </c>
      <c r="AQ102" s="9">
        <v>4</v>
      </c>
      <c r="AR102" s="9" t="s">
        <v>471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46122</v>
      </c>
      <c r="C103" s="9" t="s">
        <v>6</v>
      </c>
      <c r="D103" s="9" t="s">
        <v>98</v>
      </c>
      <c r="E103" s="9" t="s">
        <v>108</v>
      </c>
      <c r="F103" s="9" t="s">
        <v>480</v>
      </c>
      <c r="G103" s="9" t="s">
        <v>33</v>
      </c>
      <c r="H103" s="9" t="s">
        <v>33</v>
      </c>
      <c r="I103" s="9" t="s">
        <v>99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100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101</v>
      </c>
      <c r="AN103" s="9" t="s">
        <v>35</v>
      </c>
      <c r="AO103" s="9">
        <v>55</v>
      </c>
      <c r="AP103" s="9" t="s">
        <v>103</v>
      </c>
      <c r="AQ103" s="9">
        <v>1</v>
      </c>
      <c r="AR103" s="9" t="s">
        <v>299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46122</v>
      </c>
      <c r="C104" s="9" t="s">
        <v>5</v>
      </c>
      <c r="D104" s="9" t="s">
        <v>98</v>
      </c>
      <c r="E104" s="9" t="s">
        <v>108</v>
      </c>
      <c r="F104" s="9" t="s">
        <v>405</v>
      </c>
      <c r="G104" s="9" t="s">
        <v>33</v>
      </c>
      <c r="H104" s="9" t="s">
        <v>33</v>
      </c>
      <c r="I104" s="9" t="s">
        <v>9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144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34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101</v>
      </c>
      <c r="AN104" s="9" t="s">
        <v>102</v>
      </c>
      <c r="AO104" s="9">
        <v>15</v>
      </c>
      <c r="AP104" s="9" t="s">
        <v>103</v>
      </c>
      <c r="AQ104" s="9">
        <v>1</v>
      </c>
      <c r="AR104" s="9" t="s">
        <v>250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46115</v>
      </c>
      <c r="C105" s="9" t="s">
        <v>6</v>
      </c>
      <c r="D105" s="9" t="s">
        <v>98</v>
      </c>
      <c r="E105" s="9" t="s">
        <v>254</v>
      </c>
      <c r="F105" s="9" t="s">
        <v>405</v>
      </c>
      <c r="G105" s="9" t="s">
        <v>33</v>
      </c>
      <c r="H105" s="9" t="s">
        <v>33</v>
      </c>
      <c r="I105" s="9" t="s">
        <v>99</v>
      </c>
      <c r="J105" s="9" t="s">
        <v>116</v>
      </c>
      <c r="K105" s="10">
        <v>15000000000</v>
      </c>
      <c r="M105" s="9" t="s">
        <v>38</v>
      </c>
      <c r="O105" s="9" t="s">
        <v>33</v>
      </c>
      <c r="P105" s="9" t="s">
        <v>34</v>
      </c>
      <c r="Q105" s="9" t="s">
        <v>100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101</v>
      </c>
      <c r="AN105" s="9" t="s">
        <v>35</v>
      </c>
      <c r="AO105" s="9">
        <v>75</v>
      </c>
      <c r="AP105" s="9" t="s">
        <v>103</v>
      </c>
      <c r="AQ105" s="9">
        <v>1</v>
      </c>
      <c r="AR105" s="9" t="s">
        <v>467</v>
      </c>
      <c r="AS105" s="9" t="s">
        <v>490</v>
      </c>
      <c r="AT105" s="9" t="s">
        <v>491</v>
      </c>
    </row>
    <row r="106" spans="1:46">
      <c r="A106" s="9" t="s">
        <v>492</v>
      </c>
      <c r="B106" s="8">
        <v>46115</v>
      </c>
      <c r="C106" s="9" t="s">
        <v>6</v>
      </c>
      <c r="D106" s="9" t="s">
        <v>98</v>
      </c>
      <c r="E106" s="9" t="s">
        <v>254</v>
      </c>
      <c r="F106" s="9" t="s">
        <v>405</v>
      </c>
      <c r="G106" s="9" t="s">
        <v>33</v>
      </c>
      <c r="H106" s="9" t="s">
        <v>33</v>
      </c>
      <c r="I106" s="9" t="s">
        <v>99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100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101</v>
      </c>
      <c r="AN106" s="9" t="s">
        <v>35</v>
      </c>
      <c r="AO106" s="9">
        <v>55</v>
      </c>
      <c r="AP106" s="9" t="s">
        <v>103</v>
      </c>
      <c r="AQ106" s="9">
        <v>1</v>
      </c>
      <c r="AR106" s="9" t="s">
        <v>324</v>
      </c>
      <c r="AS106" s="9" t="s">
        <v>493</v>
      </c>
      <c r="AT106" s="9" t="s">
        <v>494</v>
      </c>
    </row>
    <row r="107" spans="1:46">
      <c r="A107" s="9" t="s">
        <v>495</v>
      </c>
      <c r="B107" s="8">
        <v>46111</v>
      </c>
      <c r="C107" s="9" t="s">
        <v>6</v>
      </c>
      <c r="D107" s="9" t="s">
        <v>98</v>
      </c>
      <c r="E107" s="9" t="s">
        <v>108</v>
      </c>
      <c r="F107" s="9" t="s">
        <v>480</v>
      </c>
      <c r="G107" s="9" t="s">
        <v>33</v>
      </c>
      <c r="H107" s="9" t="s">
        <v>33</v>
      </c>
      <c r="I107" s="9" t="s">
        <v>99</v>
      </c>
      <c r="J107" s="9" t="s">
        <v>116</v>
      </c>
      <c r="K107" s="10">
        <v>10000000000</v>
      </c>
      <c r="M107" s="9" t="s">
        <v>38</v>
      </c>
      <c r="O107" s="9" t="s">
        <v>33</v>
      </c>
      <c r="P107" s="9" t="s">
        <v>34</v>
      </c>
      <c r="Q107" s="9" t="s">
        <v>100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101</v>
      </c>
      <c r="AN107" s="9" t="s">
        <v>35</v>
      </c>
      <c r="AO107" s="9">
        <v>75</v>
      </c>
      <c r="AP107" s="9" t="s">
        <v>103</v>
      </c>
      <c r="AQ107" s="9">
        <v>1</v>
      </c>
      <c r="AR107" s="9" t="s">
        <v>496</v>
      </c>
      <c r="AS107" s="9" t="s">
        <v>497</v>
      </c>
      <c r="AT107" s="9" t="s">
        <v>498</v>
      </c>
    </row>
    <row r="108" spans="1:46">
      <c r="A108" s="9" t="s">
        <v>499</v>
      </c>
      <c r="B108" s="8">
        <v>46111</v>
      </c>
      <c r="C108" s="9" t="s">
        <v>6</v>
      </c>
      <c r="D108" s="9" t="s">
        <v>98</v>
      </c>
      <c r="E108" s="9" t="s">
        <v>108</v>
      </c>
      <c r="F108" s="9" t="s">
        <v>480</v>
      </c>
      <c r="G108" s="9" t="s">
        <v>33</v>
      </c>
      <c r="H108" s="9" t="s">
        <v>33</v>
      </c>
      <c r="I108" s="9" t="s">
        <v>99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100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101</v>
      </c>
      <c r="AN108" s="9" t="s">
        <v>35</v>
      </c>
      <c r="AO108" s="9">
        <v>55</v>
      </c>
      <c r="AP108" s="9" t="s">
        <v>103</v>
      </c>
      <c r="AQ108" s="9">
        <v>1</v>
      </c>
      <c r="AR108" s="9" t="s">
        <v>299</v>
      </c>
      <c r="AS108" s="9" t="s">
        <v>500</v>
      </c>
      <c r="AT108" s="9" t="s">
        <v>501</v>
      </c>
    </row>
    <row r="109" spans="1:46">
      <c r="A109" s="9" t="s">
        <v>502</v>
      </c>
      <c r="B109" s="8">
        <v>46080</v>
      </c>
      <c r="C109" s="9" t="s">
        <v>6</v>
      </c>
      <c r="D109" s="9" t="s">
        <v>125</v>
      </c>
      <c r="E109" s="9" t="s">
        <v>40</v>
      </c>
      <c r="F109" s="9" t="s">
        <v>41</v>
      </c>
      <c r="G109" s="9" t="s">
        <v>33</v>
      </c>
      <c r="H109" s="9" t="s">
        <v>33</v>
      </c>
      <c r="I109" s="9" t="s">
        <v>99</v>
      </c>
      <c r="J109" s="9" t="s">
        <v>116</v>
      </c>
      <c r="K109" s="10">
        <v>7000000000</v>
      </c>
      <c r="M109" s="9" t="s">
        <v>38</v>
      </c>
      <c r="O109" s="9" t="s">
        <v>33</v>
      </c>
      <c r="P109" s="9" t="s">
        <v>34</v>
      </c>
      <c r="Q109" s="9" t="s">
        <v>100</v>
      </c>
      <c r="R109" s="9" t="s">
        <v>34</v>
      </c>
      <c r="S109" s="9" t="s">
        <v>34</v>
      </c>
      <c r="T109" s="11">
        <v>0.15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101</v>
      </c>
      <c r="AN109" s="9" t="s">
        <v>35</v>
      </c>
      <c r="AO109" s="9">
        <v>90</v>
      </c>
      <c r="AP109" s="9" t="s">
        <v>127</v>
      </c>
      <c r="AQ109" s="9">
        <v>1</v>
      </c>
      <c r="AR109" s="9" t="s">
        <v>188</v>
      </c>
      <c r="AS109" s="9" t="s">
        <v>503</v>
      </c>
      <c r="AT109" s="9" t="s">
        <v>54</v>
      </c>
    </row>
    <row r="110" spans="1:46">
      <c r="A110" s="9" t="s">
        <v>504</v>
      </c>
      <c r="B110" s="8">
        <v>45923</v>
      </c>
      <c r="C110" s="9" t="s">
        <v>6</v>
      </c>
      <c r="D110" s="9" t="s">
        <v>125</v>
      </c>
      <c r="E110" s="9" t="s">
        <v>31</v>
      </c>
      <c r="F110" s="9" t="s">
        <v>41</v>
      </c>
      <c r="G110" s="9" t="s">
        <v>33</v>
      </c>
      <c r="H110" s="9" t="s">
        <v>33</v>
      </c>
      <c r="I110" s="9" t="s">
        <v>99</v>
      </c>
      <c r="J110" s="9" t="s">
        <v>116</v>
      </c>
      <c r="K110" s="10">
        <v>6000000000</v>
      </c>
      <c r="M110" s="9" t="s">
        <v>38</v>
      </c>
      <c r="O110" s="9" t="s">
        <v>33</v>
      </c>
      <c r="P110" s="9" t="s">
        <v>34</v>
      </c>
      <c r="Q110" s="9" t="s">
        <v>100</v>
      </c>
      <c r="R110" s="9" t="s">
        <v>34</v>
      </c>
      <c r="S110" s="9" t="s">
        <v>34</v>
      </c>
      <c r="T110" s="11">
        <v>0.154</v>
      </c>
      <c r="U110" s="9" t="s">
        <v>34</v>
      </c>
      <c r="X110" s="9" t="s">
        <v>505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101</v>
      </c>
      <c r="AN110" s="9" t="s">
        <v>39</v>
      </c>
      <c r="AO110" s="9">
        <v>100</v>
      </c>
      <c r="AP110" s="9" t="s">
        <v>127</v>
      </c>
      <c r="AQ110" s="9">
        <v>1</v>
      </c>
      <c r="AR110" s="9" t="s">
        <v>188</v>
      </c>
      <c r="AS110" s="9" t="s">
        <v>506</v>
      </c>
      <c r="AT110" s="9" t="s">
        <v>55</v>
      </c>
    </row>
    <row r="111" spans="1:46">
      <c r="A111" s="9" t="s">
        <v>507</v>
      </c>
      <c r="B111" s="8">
        <v>45729</v>
      </c>
      <c r="C111" s="9" t="s">
        <v>6</v>
      </c>
      <c r="D111" s="9" t="s">
        <v>125</v>
      </c>
      <c r="E111" s="9" t="s">
        <v>254</v>
      </c>
      <c r="F111" s="9" t="s">
        <v>48</v>
      </c>
      <c r="G111" s="9" t="s">
        <v>33</v>
      </c>
      <c r="H111" s="9" t="s">
        <v>33</v>
      </c>
      <c r="I111" s="9" t="s">
        <v>168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100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101</v>
      </c>
      <c r="AN111" s="9" t="s">
        <v>35</v>
      </c>
      <c r="AO111" s="9">
        <v>80</v>
      </c>
      <c r="AP111" s="9" t="s">
        <v>127</v>
      </c>
      <c r="AQ111" s="9">
        <v>1</v>
      </c>
      <c r="AR111" s="9" t="s">
        <v>394</v>
      </c>
      <c r="AS111" s="9" t="s">
        <v>508</v>
      </c>
      <c r="AT111" s="9" t="s">
        <v>509</v>
      </c>
    </row>
    <row r="112" spans="1:46">
      <c r="A112" s="9" t="s">
        <v>510</v>
      </c>
      <c r="B112" s="8">
        <v>45642</v>
      </c>
      <c r="C112" s="9" t="s">
        <v>4</v>
      </c>
      <c r="D112" s="9" t="s">
        <v>125</v>
      </c>
      <c r="E112" s="9" t="s">
        <v>31</v>
      </c>
      <c r="F112" s="9" t="s">
        <v>34</v>
      </c>
      <c r="G112" s="9" t="s">
        <v>34</v>
      </c>
      <c r="H112" s="9" t="s">
        <v>34</v>
      </c>
      <c r="I112" s="9" t="s">
        <v>168</v>
      </c>
      <c r="J112" s="9" t="s">
        <v>34</v>
      </c>
      <c r="M112" s="9" t="s">
        <v>34</v>
      </c>
      <c r="O112" s="9" t="s">
        <v>34</v>
      </c>
      <c r="P112" s="9" t="s">
        <v>34</v>
      </c>
      <c r="Q112" s="9" t="s">
        <v>111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101</v>
      </c>
      <c r="AN112" s="9" t="s">
        <v>35</v>
      </c>
      <c r="AO112" s="9">
        <v>65</v>
      </c>
      <c r="AP112" s="9" t="s">
        <v>127</v>
      </c>
      <c r="AQ112" s="9">
        <v>1</v>
      </c>
      <c r="AR112" s="9" t="s">
        <v>188</v>
      </c>
      <c r="AS112" s="9" t="s">
        <v>511</v>
      </c>
      <c r="AT112" s="9" t="s">
        <v>512</v>
      </c>
    </row>
    <row r="113" spans="1:46">
      <c r="A113" s="9" t="s">
        <v>513</v>
      </c>
      <c r="B113" s="8">
        <v>45611</v>
      </c>
      <c r="C113" s="9" t="s">
        <v>6</v>
      </c>
      <c r="D113" s="9" t="s">
        <v>125</v>
      </c>
      <c r="E113" s="9" t="s">
        <v>254</v>
      </c>
      <c r="F113" s="9" t="s">
        <v>41</v>
      </c>
      <c r="G113" s="9" t="s">
        <v>33</v>
      </c>
      <c r="H113" s="9" t="s">
        <v>33</v>
      </c>
      <c r="I113" s="9" t="s">
        <v>9</v>
      </c>
      <c r="J113" s="9" t="s">
        <v>116</v>
      </c>
      <c r="K113" s="10">
        <v>3000000000</v>
      </c>
      <c r="M113" s="9" t="s">
        <v>38</v>
      </c>
      <c r="O113" s="9" t="s">
        <v>33</v>
      </c>
      <c r="P113" s="9" t="s">
        <v>34</v>
      </c>
      <c r="Q113" s="9" t="s">
        <v>100</v>
      </c>
      <c r="R113" s="9" t="s">
        <v>34</v>
      </c>
      <c r="S113" s="9" t="s">
        <v>34</v>
      </c>
      <c r="U113" s="9" t="s">
        <v>514</v>
      </c>
      <c r="X113" s="9" t="s">
        <v>505</v>
      </c>
      <c r="AB113" s="9" t="s">
        <v>33</v>
      </c>
      <c r="AD113" s="9" t="s">
        <v>515</v>
      </c>
      <c r="AH113" s="9" t="s">
        <v>34</v>
      </c>
      <c r="AK113" s="9" t="s">
        <v>34</v>
      </c>
      <c r="AL113" s="9" t="s">
        <v>34</v>
      </c>
      <c r="AM113" s="9" t="s">
        <v>101</v>
      </c>
      <c r="AN113" s="9" t="s">
        <v>39</v>
      </c>
      <c r="AO113" s="9">
        <v>100</v>
      </c>
      <c r="AP113" s="9" t="s">
        <v>127</v>
      </c>
      <c r="AQ113" s="9">
        <v>1</v>
      </c>
      <c r="AR113" s="9" t="s">
        <v>188</v>
      </c>
      <c r="AS113" s="9" t="s">
        <v>516</v>
      </c>
      <c r="AT113" s="9" t="s">
        <v>517</v>
      </c>
    </row>
    <row r="114" spans="1:46">
      <c r="A114" s="9" t="s">
        <v>518</v>
      </c>
      <c r="B114" s="8">
        <v>45391</v>
      </c>
      <c r="C114" s="9" t="s">
        <v>6</v>
      </c>
      <c r="D114" s="9" t="s">
        <v>125</v>
      </c>
      <c r="E114" s="9" t="s">
        <v>31</v>
      </c>
      <c r="F114" s="9" t="s">
        <v>41</v>
      </c>
      <c r="G114" s="9" t="s">
        <v>33</v>
      </c>
      <c r="H114" s="9" t="s">
        <v>33</v>
      </c>
      <c r="I114" s="9" t="s">
        <v>99</v>
      </c>
      <c r="J114" s="9" t="s">
        <v>116</v>
      </c>
      <c r="K114" s="10">
        <v>4000000000</v>
      </c>
      <c r="M114" s="9" t="s">
        <v>38</v>
      </c>
      <c r="O114" s="9" t="s">
        <v>33</v>
      </c>
      <c r="P114" s="9" t="s">
        <v>34</v>
      </c>
      <c r="Q114" s="9" t="s">
        <v>100</v>
      </c>
      <c r="R114" s="9" t="s">
        <v>34</v>
      </c>
      <c r="S114" s="9" t="s">
        <v>34</v>
      </c>
      <c r="T114" s="11">
        <v>0.15</v>
      </c>
      <c r="U114" s="9" t="s">
        <v>34</v>
      </c>
      <c r="X114" s="9" t="s">
        <v>519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101</v>
      </c>
      <c r="AN114" s="9" t="s">
        <v>35</v>
      </c>
      <c r="AO114" s="9">
        <v>90</v>
      </c>
      <c r="AP114" s="9" t="s">
        <v>127</v>
      </c>
      <c r="AQ114" s="9">
        <v>1</v>
      </c>
      <c r="AR114" s="9" t="s">
        <v>188</v>
      </c>
      <c r="AS114" s="9" t="s">
        <v>520</v>
      </c>
      <c r="AT114" s="9" t="s">
        <v>521</v>
      </c>
    </row>
    <row r="115" spans="1:46">
      <c r="A115" s="9" t="s">
        <v>522</v>
      </c>
      <c r="B115" s="8">
        <v>45357</v>
      </c>
      <c r="C115" s="9" t="s">
        <v>6</v>
      </c>
      <c r="D115" s="9" t="s">
        <v>125</v>
      </c>
      <c r="E115" s="9" t="s">
        <v>254</v>
      </c>
      <c r="F115" s="9" t="s">
        <v>41</v>
      </c>
      <c r="G115" s="9" t="s">
        <v>33</v>
      </c>
      <c r="H115" s="9" t="s">
        <v>33</v>
      </c>
      <c r="I115" s="9" t="s">
        <v>99</v>
      </c>
      <c r="J115" s="9" t="s">
        <v>116</v>
      </c>
      <c r="K115" s="10">
        <v>3000000000</v>
      </c>
      <c r="M115" s="9" t="s">
        <v>38</v>
      </c>
      <c r="O115" s="9" t="s">
        <v>33</v>
      </c>
      <c r="P115" s="9" t="s">
        <v>34</v>
      </c>
      <c r="Q115" s="9" t="s">
        <v>100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101</v>
      </c>
      <c r="AN115" s="9" t="s">
        <v>39</v>
      </c>
      <c r="AO115" s="9">
        <v>100</v>
      </c>
      <c r="AP115" s="9" t="s">
        <v>127</v>
      </c>
      <c r="AQ115" s="9">
        <v>1</v>
      </c>
      <c r="AR115" s="9" t="s">
        <v>188</v>
      </c>
      <c r="AS115" s="9" t="s">
        <v>523</v>
      </c>
      <c r="AT115" s="9" t="s">
        <v>517</v>
      </c>
    </row>
    <row r="116" spans="1:46">
      <c r="A116" s="9" t="s">
        <v>524</v>
      </c>
      <c r="B116" s="8">
        <v>45288</v>
      </c>
      <c r="C116" s="9" t="s">
        <v>4</v>
      </c>
      <c r="D116" s="9" t="s">
        <v>125</v>
      </c>
      <c r="E116" s="9" t="s">
        <v>31</v>
      </c>
      <c r="F116" s="9" t="s">
        <v>525</v>
      </c>
      <c r="G116" s="9" t="s">
        <v>526</v>
      </c>
      <c r="H116" s="9" t="s">
        <v>34</v>
      </c>
      <c r="I116" s="9" t="s">
        <v>99</v>
      </c>
      <c r="J116" s="9" t="s">
        <v>116</v>
      </c>
      <c r="M116" s="9" t="s">
        <v>34</v>
      </c>
      <c r="O116" s="9" t="s">
        <v>34</v>
      </c>
      <c r="P116" s="9" t="s">
        <v>34</v>
      </c>
      <c r="Q116" s="9" t="s">
        <v>111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101</v>
      </c>
      <c r="AN116" s="9" t="s">
        <v>35</v>
      </c>
      <c r="AO116" s="9">
        <v>40</v>
      </c>
      <c r="AP116" s="9" t="s">
        <v>127</v>
      </c>
      <c r="AQ116" s="9">
        <v>1</v>
      </c>
      <c r="AR116" s="9" t="s">
        <v>188</v>
      </c>
      <c r="AS116" s="9" t="s">
        <v>527</v>
      </c>
      <c r="AT116" s="9" t="s">
        <v>528</v>
      </c>
    </row>
    <row r="117" spans="1:46">
      <c r="A117" s="9" t="s">
        <v>529</v>
      </c>
      <c r="B117" s="8">
        <v>45190</v>
      </c>
      <c r="C117" s="9" t="s">
        <v>4</v>
      </c>
      <c r="D117" s="9" t="s">
        <v>125</v>
      </c>
      <c r="E117" s="9" t="s">
        <v>50</v>
      </c>
      <c r="F117" s="9" t="s">
        <v>530</v>
      </c>
      <c r="G117" s="9" t="s">
        <v>531</v>
      </c>
      <c r="H117" s="9" t="s">
        <v>532</v>
      </c>
      <c r="I117" s="9" t="s">
        <v>168</v>
      </c>
      <c r="J117" s="9" t="s">
        <v>533</v>
      </c>
      <c r="K117" s="10">
        <v>28000000000</v>
      </c>
      <c r="M117" s="9" t="s">
        <v>132</v>
      </c>
      <c r="N117" s="11">
        <v>1</v>
      </c>
      <c r="O117" s="9" t="s">
        <v>534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535</v>
      </c>
      <c r="AE117" s="10">
        <v>3653708000</v>
      </c>
      <c r="AG117" s="8">
        <v>44957</v>
      </c>
      <c r="AH117" s="9" t="s">
        <v>132</v>
      </c>
      <c r="AK117" s="9" t="s">
        <v>536</v>
      </c>
      <c r="AL117" s="9" t="s">
        <v>537</v>
      </c>
      <c r="AM117" s="9" t="s">
        <v>538</v>
      </c>
      <c r="AN117" s="9" t="s">
        <v>39</v>
      </c>
      <c r="AO117" s="9">
        <v>100</v>
      </c>
      <c r="AP117" s="9" t="s">
        <v>127</v>
      </c>
      <c r="AQ117" s="9">
        <v>2</v>
      </c>
      <c r="AR117" s="9" t="s">
        <v>539</v>
      </c>
      <c r="AS117" s="9" t="s">
        <v>540</v>
      </c>
      <c r="AT117" s="9" t="s">
        <v>541</v>
      </c>
    </row>
    <row r="118" spans="1:46">
      <c r="A118" s="9" t="s">
        <v>542</v>
      </c>
      <c r="B118" s="8">
        <v>44707</v>
      </c>
      <c r="C118" s="9" t="s">
        <v>4</v>
      </c>
      <c r="D118" s="9" t="s">
        <v>125</v>
      </c>
      <c r="E118" s="9" t="s">
        <v>50</v>
      </c>
      <c r="F118" s="9" t="s">
        <v>543</v>
      </c>
      <c r="G118" s="9" t="s">
        <v>544</v>
      </c>
      <c r="H118" s="9" t="s">
        <v>532</v>
      </c>
      <c r="I118" s="9" t="s">
        <v>168</v>
      </c>
      <c r="J118" s="9" t="s">
        <v>533</v>
      </c>
      <c r="K118" s="10">
        <v>61000000000</v>
      </c>
      <c r="L118" s="10">
        <v>69000000000</v>
      </c>
      <c r="M118" s="9" t="s">
        <v>132</v>
      </c>
      <c r="N118" s="11">
        <v>1</v>
      </c>
      <c r="O118" s="9" t="s">
        <v>545</v>
      </c>
      <c r="P118" s="9" t="s">
        <v>546</v>
      </c>
      <c r="Q118" s="9" t="s">
        <v>111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547</v>
      </c>
      <c r="AE118" s="10">
        <v>12851000000</v>
      </c>
      <c r="AF118" s="10">
        <v>2966000000</v>
      </c>
      <c r="AG118" s="8">
        <v>44589</v>
      </c>
      <c r="AH118" s="9" t="s">
        <v>132</v>
      </c>
      <c r="AI118" s="12">
        <v>5.369231966383939</v>
      </c>
      <c r="AJ118" s="12">
        <v>23.26365475387728</v>
      </c>
      <c r="AK118" s="9" t="s">
        <v>548</v>
      </c>
      <c r="AL118" s="9" t="s">
        <v>549</v>
      </c>
      <c r="AM118" s="9" t="s">
        <v>538</v>
      </c>
      <c r="AN118" s="9" t="s">
        <v>39</v>
      </c>
      <c r="AO118" s="9">
        <v>100</v>
      </c>
      <c r="AP118" s="9" t="s">
        <v>127</v>
      </c>
      <c r="AQ118" s="9">
        <v>2</v>
      </c>
      <c r="AR118" s="9" t="s">
        <v>550</v>
      </c>
      <c r="AS118" s="9" t="s">
        <v>551</v>
      </c>
      <c r="AT118" s="9" t="s">
        <v>552</v>
      </c>
    </row>
    <row r="119" spans="1:46">
      <c r="A119" s="9" t="s">
        <v>553</v>
      </c>
      <c r="B119" s="8">
        <v>44640</v>
      </c>
      <c r="C119" s="9" t="s">
        <v>4</v>
      </c>
      <c r="D119" s="9" t="s">
        <v>125</v>
      </c>
      <c r="E119" s="9" t="s">
        <v>50</v>
      </c>
      <c r="F119" s="9" t="s">
        <v>554</v>
      </c>
      <c r="G119" s="9" t="s">
        <v>555</v>
      </c>
      <c r="H119" s="9" t="s">
        <v>532</v>
      </c>
      <c r="I119" s="9" t="s">
        <v>168</v>
      </c>
      <c r="J119" s="9" t="s">
        <v>533</v>
      </c>
      <c r="K119" s="10">
        <v>10400000000</v>
      </c>
      <c r="M119" s="9" t="s">
        <v>132</v>
      </c>
      <c r="N119" s="11">
        <v>1</v>
      </c>
      <c r="O119" s="9" t="s">
        <v>534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556</v>
      </c>
      <c r="AE119" s="10">
        <v>592200000</v>
      </c>
      <c r="AG119" s="8">
        <v>44592</v>
      </c>
      <c r="AH119" s="9" t="s">
        <v>132</v>
      </c>
      <c r="AK119" s="9" t="s">
        <v>557</v>
      </c>
      <c r="AL119" s="9" t="s">
        <v>558</v>
      </c>
      <c r="AM119" s="9" t="s">
        <v>559</v>
      </c>
      <c r="AN119" s="9" t="s">
        <v>39</v>
      </c>
      <c r="AO119" s="9">
        <v>100</v>
      </c>
      <c r="AP119" s="9" t="s">
        <v>127</v>
      </c>
      <c r="AQ119" s="9">
        <v>2</v>
      </c>
      <c r="AR119" s="9" t="s">
        <v>560</v>
      </c>
      <c r="AS119" s="9" t="s">
        <v>561</v>
      </c>
      <c r="AT119" s="9" t="s">
        <v>562</v>
      </c>
    </row>
    <row r="120" spans="1:46">
      <c r="A120" s="9" t="s">
        <v>563</v>
      </c>
      <c r="B120" s="8">
        <v>44592</v>
      </c>
      <c r="C120" s="9" t="s">
        <v>4</v>
      </c>
      <c r="D120" s="9" t="s">
        <v>125</v>
      </c>
      <c r="E120" s="9" t="s">
        <v>50</v>
      </c>
      <c r="F120" s="9" t="s">
        <v>564</v>
      </c>
      <c r="G120" s="9" t="s">
        <v>565</v>
      </c>
      <c r="H120" s="9" t="s">
        <v>532</v>
      </c>
      <c r="I120" s="9" t="s">
        <v>168</v>
      </c>
      <c r="J120" s="9" t="s">
        <v>533</v>
      </c>
      <c r="K120" s="10">
        <v>16500000000</v>
      </c>
      <c r="L120" s="10">
        <v>16500000000</v>
      </c>
      <c r="M120" s="9" t="s">
        <v>132</v>
      </c>
      <c r="N120" s="11">
        <v>1</v>
      </c>
      <c r="O120" s="9" t="s">
        <v>534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566</v>
      </c>
      <c r="AE120" s="10">
        <v>3217170000</v>
      </c>
      <c r="AG120" s="8">
        <v>44561</v>
      </c>
      <c r="AH120" s="9" t="s">
        <v>132</v>
      </c>
      <c r="AI120" s="12">
        <v>5.128731151913017</v>
      </c>
      <c r="AK120" s="9" t="s">
        <v>567</v>
      </c>
      <c r="AL120" s="9" t="s">
        <v>568</v>
      </c>
      <c r="AM120" s="9" t="s">
        <v>559</v>
      </c>
      <c r="AN120" s="9" t="s">
        <v>39</v>
      </c>
      <c r="AO120" s="9">
        <v>100</v>
      </c>
      <c r="AP120" s="9" t="s">
        <v>127</v>
      </c>
      <c r="AQ120" s="9">
        <v>1</v>
      </c>
      <c r="AR120" s="9" t="s">
        <v>569</v>
      </c>
      <c r="AS120" s="9" t="s">
        <v>570</v>
      </c>
      <c r="AT120" s="9" t="s">
        <v>571</v>
      </c>
    </row>
    <row r="121" spans="1:46">
      <c r="A121" s="9" t="s">
        <v>572</v>
      </c>
      <c r="B121" s="8">
        <v>44579</v>
      </c>
      <c r="C121" s="9" t="s">
        <v>4</v>
      </c>
      <c r="D121" s="9" t="s">
        <v>125</v>
      </c>
      <c r="E121" s="9" t="s">
        <v>50</v>
      </c>
      <c r="F121" s="9" t="s">
        <v>573</v>
      </c>
      <c r="G121" s="9" t="s">
        <v>574</v>
      </c>
      <c r="H121" s="9" t="s">
        <v>532</v>
      </c>
      <c r="I121" s="9" t="s">
        <v>168</v>
      </c>
      <c r="J121" s="9" t="s">
        <v>533</v>
      </c>
      <c r="K121" s="10">
        <v>68700000000</v>
      </c>
      <c r="L121" s="10">
        <v>68700000000</v>
      </c>
      <c r="M121" s="9" t="s">
        <v>132</v>
      </c>
      <c r="N121" s="11">
        <v>1</v>
      </c>
      <c r="O121" s="9" t="s">
        <v>534</v>
      </c>
      <c r="P121" s="9" t="s">
        <v>575</v>
      </c>
      <c r="Q121" s="9" t="s">
        <v>111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576</v>
      </c>
      <c r="AE121" s="10">
        <v>8086000000</v>
      </c>
      <c r="AG121" s="8">
        <v>44196</v>
      </c>
      <c r="AH121" s="9" t="s">
        <v>132</v>
      </c>
      <c r="AI121" s="12">
        <v>8.496166213208014</v>
      </c>
      <c r="AK121" s="9" t="s">
        <v>577</v>
      </c>
      <c r="AL121" s="9" t="s">
        <v>578</v>
      </c>
      <c r="AM121" s="9" t="s">
        <v>538</v>
      </c>
      <c r="AN121" s="9" t="s">
        <v>39</v>
      </c>
      <c r="AO121" s="9">
        <v>100</v>
      </c>
      <c r="AP121" s="9" t="s">
        <v>127</v>
      </c>
      <c r="AQ121" s="9">
        <v>2</v>
      </c>
      <c r="AR121" s="9" t="s">
        <v>579</v>
      </c>
      <c r="AS121" s="9" t="s">
        <v>580</v>
      </c>
      <c r="AT121" s="9" t="s">
        <v>581</v>
      </c>
    </row>
    <row r="122" spans="1:46">
      <c r="A122" s="9" t="s">
        <v>582</v>
      </c>
      <c r="B122" s="8">
        <v>44166</v>
      </c>
      <c r="C122" s="9" t="s">
        <v>4</v>
      </c>
      <c r="D122" s="9" t="s">
        <v>125</v>
      </c>
      <c r="E122" s="9" t="s">
        <v>50</v>
      </c>
      <c r="F122" s="9" t="s">
        <v>583</v>
      </c>
      <c r="G122" s="9" t="s">
        <v>584</v>
      </c>
      <c r="H122" s="9" t="s">
        <v>532</v>
      </c>
      <c r="I122" s="9" t="s">
        <v>168</v>
      </c>
      <c r="J122" s="9" t="s">
        <v>533</v>
      </c>
      <c r="K122" s="10">
        <v>27700000000</v>
      </c>
      <c r="L122" s="10">
        <v>27700000000</v>
      </c>
      <c r="M122" s="9" t="s">
        <v>132</v>
      </c>
      <c r="N122" s="11">
        <v>1</v>
      </c>
      <c r="O122" s="9" t="s">
        <v>545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585</v>
      </c>
      <c r="AE122" s="10">
        <v>630422000</v>
      </c>
      <c r="AG122" s="8">
        <v>43861</v>
      </c>
      <c r="AH122" s="9" t="s">
        <v>132</v>
      </c>
      <c r="AI122" s="12">
        <v>43.93882193197572</v>
      </c>
      <c r="AK122" s="9" t="s">
        <v>586</v>
      </c>
      <c r="AL122" s="9" t="s">
        <v>587</v>
      </c>
      <c r="AM122" s="9" t="s">
        <v>538</v>
      </c>
      <c r="AN122" s="9" t="s">
        <v>39</v>
      </c>
      <c r="AO122" s="9">
        <v>100</v>
      </c>
      <c r="AP122" s="9" t="s">
        <v>127</v>
      </c>
      <c r="AQ122" s="9">
        <v>2</v>
      </c>
      <c r="AR122" s="9" t="s">
        <v>588</v>
      </c>
      <c r="AS122" s="9" t="s">
        <v>589</v>
      </c>
      <c r="AT122" s="9" t="s">
        <v>590</v>
      </c>
    </row>
    <row r="123" spans="1:46">
      <c r="A123" s="9" t="s">
        <v>591</v>
      </c>
      <c r="B123" s="8">
        <v>44131</v>
      </c>
      <c r="C123" s="9" t="s">
        <v>4</v>
      </c>
      <c r="D123" s="9" t="s">
        <v>125</v>
      </c>
      <c r="E123" s="9" t="s">
        <v>50</v>
      </c>
      <c r="F123" s="9" t="s">
        <v>592</v>
      </c>
      <c r="G123" s="9" t="s">
        <v>593</v>
      </c>
      <c r="H123" s="9" t="s">
        <v>532</v>
      </c>
      <c r="I123" s="9" t="s">
        <v>168</v>
      </c>
      <c r="J123" s="9" t="s">
        <v>533</v>
      </c>
      <c r="K123" s="10">
        <v>35000000000</v>
      </c>
      <c r="M123" s="9" t="s">
        <v>132</v>
      </c>
      <c r="N123" s="11">
        <v>1</v>
      </c>
      <c r="O123" s="9" t="s">
        <v>360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594</v>
      </c>
      <c r="AE123" s="10">
        <v>3162666000</v>
      </c>
      <c r="AG123" s="8">
        <v>43918</v>
      </c>
      <c r="AH123" s="9" t="s">
        <v>132</v>
      </c>
      <c r="AK123" s="9" t="s">
        <v>595</v>
      </c>
      <c r="AL123" s="9" t="s">
        <v>596</v>
      </c>
      <c r="AM123" s="9" t="s">
        <v>538</v>
      </c>
      <c r="AN123" s="9" t="s">
        <v>39</v>
      </c>
      <c r="AO123" s="9">
        <v>100</v>
      </c>
      <c r="AP123" s="9" t="s">
        <v>127</v>
      </c>
      <c r="AQ123" s="9">
        <v>2</v>
      </c>
      <c r="AR123" s="9" t="s">
        <v>597</v>
      </c>
      <c r="AS123" s="9" t="s">
        <v>598</v>
      </c>
      <c r="AT123" s="9" t="s">
        <v>599</v>
      </c>
    </row>
    <row r="124" spans="1:46">
      <c r="A124" s="9" t="s">
        <v>600</v>
      </c>
      <c r="B124" s="8">
        <v>43626</v>
      </c>
      <c r="C124" s="9" t="s">
        <v>4</v>
      </c>
      <c r="D124" s="9" t="s">
        <v>125</v>
      </c>
      <c r="E124" s="9" t="s">
        <v>50</v>
      </c>
      <c r="F124" s="9" t="s">
        <v>601</v>
      </c>
      <c r="G124" s="9" t="s">
        <v>584</v>
      </c>
      <c r="H124" s="9" t="s">
        <v>532</v>
      </c>
      <c r="I124" s="9" t="s">
        <v>168</v>
      </c>
      <c r="J124" s="9" t="s">
        <v>533</v>
      </c>
      <c r="K124" s="10">
        <v>15700000000</v>
      </c>
      <c r="L124" s="10">
        <v>15700000000</v>
      </c>
      <c r="M124" s="9" t="s">
        <v>132</v>
      </c>
      <c r="N124" s="11">
        <v>1</v>
      </c>
      <c r="O124" s="9" t="s">
        <v>360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602</v>
      </c>
      <c r="AE124" s="10">
        <v>1159000000</v>
      </c>
      <c r="AG124" s="8">
        <v>43465</v>
      </c>
      <c r="AH124" s="9" t="s">
        <v>132</v>
      </c>
      <c r="AI124" s="12">
        <v>13.54616048317515</v>
      </c>
      <c r="AK124" s="9" t="s">
        <v>603</v>
      </c>
      <c r="AL124" s="9" t="s">
        <v>604</v>
      </c>
      <c r="AM124" s="9" t="s">
        <v>538</v>
      </c>
      <c r="AN124" s="9" t="s">
        <v>39</v>
      </c>
      <c r="AO124" s="9">
        <v>100</v>
      </c>
      <c r="AP124" s="9" t="s">
        <v>127</v>
      </c>
      <c r="AQ124" s="9">
        <v>2</v>
      </c>
      <c r="AR124" s="9" t="s">
        <v>588</v>
      </c>
      <c r="AS124" s="9" t="s">
        <v>605</v>
      </c>
      <c r="AT124" s="9" t="s">
        <v>606</v>
      </c>
    </row>
    <row r="125" spans="1:46">
      <c r="A125" s="9" t="s">
        <v>607</v>
      </c>
      <c r="B125" s="8">
        <v>43401</v>
      </c>
      <c r="C125" s="9" t="s">
        <v>4</v>
      </c>
      <c r="D125" s="9" t="s">
        <v>125</v>
      </c>
      <c r="E125" s="9" t="s">
        <v>50</v>
      </c>
      <c r="F125" s="9" t="s">
        <v>608</v>
      </c>
      <c r="G125" s="9" t="s">
        <v>609</v>
      </c>
      <c r="H125" s="9" t="s">
        <v>532</v>
      </c>
      <c r="I125" s="9" t="s">
        <v>168</v>
      </c>
      <c r="J125" s="9" t="s">
        <v>533</v>
      </c>
      <c r="K125" s="10">
        <v>34000000000</v>
      </c>
      <c r="L125" s="10">
        <v>34000000000</v>
      </c>
      <c r="M125" s="9" t="s">
        <v>132</v>
      </c>
      <c r="N125" s="11">
        <v>1</v>
      </c>
      <c r="O125" s="9" t="s">
        <v>534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610</v>
      </c>
      <c r="AE125" s="10">
        <v>2920461000</v>
      </c>
      <c r="AG125" s="8">
        <v>43159</v>
      </c>
      <c r="AH125" s="9" t="s">
        <v>132</v>
      </c>
      <c r="AI125" s="12">
        <v>11.64199761612978</v>
      </c>
      <c r="AK125" s="9" t="s">
        <v>611</v>
      </c>
      <c r="AL125" s="9" t="s">
        <v>612</v>
      </c>
      <c r="AM125" s="9" t="s">
        <v>538</v>
      </c>
      <c r="AN125" s="9" t="s">
        <v>39</v>
      </c>
      <c r="AO125" s="9">
        <v>100</v>
      </c>
      <c r="AP125" s="9" t="s">
        <v>127</v>
      </c>
      <c r="AQ125" s="9">
        <v>2</v>
      </c>
      <c r="AR125" s="9" t="s">
        <v>613</v>
      </c>
      <c r="AS125" s="9" t="s">
        <v>614</v>
      </c>
      <c r="AT125" s="9" t="s">
        <v>615</v>
      </c>
    </row>
    <row r="126" spans="1:46">
      <c r="A126" s="9" t="s">
        <v>616</v>
      </c>
      <c r="B126" s="8">
        <v>42534</v>
      </c>
      <c r="C126" s="9" t="s">
        <v>4</v>
      </c>
      <c r="D126" s="9" t="s">
        <v>125</v>
      </c>
      <c r="E126" s="9" t="s">
        <v>50</v>
      </c>
      <c r="F126" s="9" t="s">
        <v>617</v>
      </c>
      <c r="G126" s="9" t="s">
        <v>574</v>
      </c>
      <c r="H126" s="9" t="s">
        <v>532</v>
      </c>
      <c r="I126" s="9" t="s">
        <v>168</v>
      </c>
      <c r="J126" s="9" t="s">
        <v>533</v>
      </c>
      <c r="K126" s="10">
        <v>26200000000</v>
      </c>
      <c r="L126" s="10">
        <v>26200000000</v>
      </c>
      <c r="M126" s="9" t="s">
        <v>132</v>
      </c>
      <c r="N126" s="11">
        <v>1</v>
      </c>
      <c r="O126" s="9" t="s">
        <v>534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618</v>
      </c>
      <c r="AE126" s="10">
        <v>2990911000</v>
      </c>
      <c r="AF126" s="10">
        <v>254472000</v>
      </c>
      <c r="AG126" s="8">
        <v>42369</v>
      </c>
      <c r="AH126" s="9" t="s">
        <v>132</v>
      </c>
      <c r="AI126" s="12">
        <v>8.759872828044699</v>
      </c>
      <c r="AJ126" s="12">
        <v>102.9582822471628</v>
      </c>
      <c r="AK126" s="9" t="s">
        <v>619</v>
      </c>
      <c r="AL126" s="9" t="s">
        <v>620</v>
      </c>
      <c r="AM126" s="9" t="s">
        <v>538</v>
      </c>
      <c r="AN126" s="9" t="s">
        <v>39</v>
      </c>
      <c r="AO126" s="9">
        <v>100</v>
      </c>
      <c r="AP126" s="9" t="s">
        <v>127</v>
      </c>
      <c r="AQ126" s="9">
        <v>2</v>
      </c>
      <c r="AR126" s="9" t="s">
        <v>579</v>
      </c>
      <c r="AS126" s="9" t="s">
        <v>621</v>
      </c>
      <c r="AT126" s="9" t="s">
        <v>622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R99" r:id="rId93"/>
    <hyperlink ref="AS99" r:id="rId94"/>
    <hyperlink ref="AS100" r:id="rId95"/>
    <hyperlink ref="AS101" r:id="rId96"/>
    <hyperlink ref="AS102" r:id="rId97"/>
    <hyperlink ref="AS103" r:id="rId98"/>
    <hyperlink ref="AS104" r:id="rId99"/>
    <hyperlink ref="AR105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</hyperlinks>
  <pageMargins left="0.7" right="0.7" top="0.75" bottom="0.75" header="0.3" footer="0.3"/>
  <tableParts count="1">
    <tablePart r:id="rId12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625</v>
      </c>
      <c r="C6" t="s">
        <v>626</v>
      </c>
      <c r="D6" t="s">
        <v>85</v>
      </c>
      <c r="E6" t="s">
        <v>627</v>
      </c>
      <c r="F6" t="s">
        <v>27</v>
      </c>
      <c r="G6" t="s">
        <v>83</v>
      </c>
      <c r="H6" t="s">
        <v>628</v>
      </c>
      <c r="I6" t="s">
        <v>629</v>
      </c>
      <c r="J6" t="s">
        <v>630</v>
      </c>
      <c r="K6" t="s">
        <v>84</v>
      </c>
      <c r="L6" t="s">
        <v>90</v>
      </c>
      <c r="M6" t="s">
        <v>631</v>
      </c>
      <c r="N6" t="s">
        <v>632</v>
      </c>
    </row>
    <row r="7" spans="1:14" ht="42" customHeight="1">
      <c r="A7" s="9" t="s">
        <v>529</v>
      </c>
      <c r="B7" s="9" t="s">
        <v>530</v>
      </c>
      <c r="C7" s="8">
        <v>45190</v>
      </c>
      <c r="D7" s="8">
        <v>44957</v>
      </c>
      <c r="E7" s="8">
        <v>45008</v>
      </c>
      <c r="F7" s="9" t="s">
        <v>132</v>
      </c>
      <c r="G7" s="10">
        <v>3653708000</v>
      </c>
      <c r="L7" s="13" t="s">
        <v>537</v>
      </c>
      <c r="M7" s="13" t="s">
        <v>536</v>
      </c>
      <c r="N7" s="13" t="s">
        <v>633</v>
      </c>
    </row>
    <row r="8" spans="1:14" ht="42" customHeight="1">
      <c r="A8" s="9" t="s">
        <v>542</v>
      </c>
      <c r="B8" s="9" t="s">
        <v>543</v>
      </c>
      <c r="C8" s="8">
        <v>44707</v>
      </c>
      <c r="D8" s="8">
        <v>44589</v>
      </c>
      <c r="E8" s="8">
        <v>44644</v>
      </c>
      <c r="F8" s="9" t="s">
        <v>132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549</v>
      </c>
      <c r="M8" s="13" t="s">
        <v>548</v>
      </c>
      <c r="N8" s="13" t="s">
        <v>634</v>
      </c>
    </row>
    <row r="9" spans="1:14" ht="42" customHeight="1">
      <c r="A9" s="9" t="s">
        <v>553</v>
      </c>
      <c r="B9" s="9" t="s">
        <v>554</v>
      </c>
      <c r="C9" s="8">
        <v>44640</v>
      </c>
      <c r="D9" s="8">
        <v>44592</v>
      </c>
      <c r="E9" s="8">
        <v>44643</v>
      </c>
      <c r="F9" s="9" t="s">
        <v>132</v>
      </c>
      <c r="G9" s="10">
        <v>592200000</v>
      </c>
      <c r="L9" s="13" t="s">
        <v>558</v>
      </c>
      <c r="M9" s="13" t="s">
        <v>557</v>
      </c>
      <c r="N9" s="13" t="s">
        <v>635</v>
      </c>
    </row>
    <row r="10" spans="1:14" ht="42" customHeight="1">
      <c r="A10" s="9" t="s">
        <v>563</v>
      </c>
      <c r="B10" s="9" t="s">
        <v>564</v>
      </c>
      <c r="C10" s="8">
        <v>44592</v>
      </c>
      <c r="D10" s="8">
        <v>44561</v>
      </c>
      <c r="E10" s="8">
        <v>44608</v>
      </c>
      <c r="F10" s="9" t="s">
        <v>132</v>
      </c>
      <c r="G10" s="10">
        <v>3217170000</v>
      </c>
      <c r="L10" s="13" t="s">
        <v>568</v>
      </c>
      <c r="M10" s="13" t="s">
        <v>567</v>
      </c>
      <c r="N10" s="13" t="s">
        <v>570</v>
      </c>
    </row>
    <row r="11" spans="1:14" ht="42" customHeight="1">
      <c r="A11" s="9" t="s">
        <v>572</v>
      </c>
      <c r="B11" s="9" t="s">
        <v>573</v>
      </c>
      <c r="C11" s="8">
        <v>44579</v>
      </c>
      <c r="D11" s="8">
        <v>44196</v>
      </c>
      <c r="E11" s="8">
        <v>44250</v>
      </c>
      <c r="F11" s="9" t="s">
        <v>132</v>
      </c>
      <c r="G11" s="10">
        <v>8086000000</v>
      </c>
      <c r="H11" s="10">
        <v>2734000000</v>
      </c>
      <c r="L11" s="13" t="s">
        <v>578</v>
      </c>
      <c r="M11" s="13" t="s">
        <v>577</v>
      </c>
      <c r="N11" s="13" t="s">
        <v>636</v>
      </c>
    </row>
    <row r="12" spans="1:14" ht="42" customHeight="1">
      <c r="A12" s="9" t="s">
        <v>582</v>
      </c>
      <c r="B12" s="9" t="s">
        <v>583</v>
      </c>
      <c r="C12" s="8">
        <v>44166</v>
      </c>
      <c r="D12" s="8">
        <v>43861</v>
      </c>
      <c r="E12" s="8">
        <v>43902</v>
      </c>
      <c r="F12" s="9" t="s">
        <v>132</v>
      </c>
      <c r="G12" s="10">
        <v>630422000</v>
      </c>
      <c r="L12" s="13" t="s">
        <v>587</v>
      </c>
      <c r="M12" s="13" t="s">
        <v>586</v>
      </c>
      <c r="N12" s="13" t="s">
        <v>637</v>
      </c>
    </row>
    <row r="13" spans="1:14" ht="42" customHeight="1">
      <c r="A13" s="9" t="s">
        <v>591</v>
      </c>
      <c r="B13" s="9" t="s">
        <v>592</v>
      </c>
      <c r="C13" s="8">
        <v>44131</v>
      </c>
      <c r="D13" s="8">
        <v>43918</v>
      </c>
      <c r="E13" s="8">
        <v>43966</v>
      </c>
      <c r="F13" s="9" t="s">
        <v>132</v>
      </c>
      <c r="G13" s="10">
        <v>3162666000</v>
      </c>
      <c r="L13" s="13" t="s">
        <v>596</v>
      </c>
      <c r="M13" s="13" t="s">
        <v>595</v>
      </c>
      <c r="N13" s="13" t="s">
        <v>638</v>
      </c>
    </row>
    <row r="14" spans="1:14" ht="42" customHeight="1">
      <c r="A14" s="9" t="s">
        <v>600</v>
      </c>
      <c r="B14" s="9" t="s">
        <v>601</v>
      </c>
      <c r="C14" s="8">
        <v>43626</v>
      </c>
      <c r="D14" s="8">
        <v>43465</v>
      </c>
      <c r="E14" s="8">
        <v>43518</v>
      </c>
      <c r="F14" s="9" t="s">
        <v>132</v>
      </c>
      <c r="G14" s="10">
        <v>1159000000</v>
      </c>
      <c r="L14" s="13" t="s">
        <v>604</v>
      </c>
      <c r="M14" s="13" t="s">
        <v>603</v>
      </c>
      <c r="N14" s="13" t="s">
        <v>639</v>
      </c>
    </row>
    <row r="15" spans="1:14" ht="42" customHeight="1">
      <c r="A15" s="9" t="s">
        <v>607</v>
      </c>
      <c r="B15" s="9" t="s">
        <v>608</v>
      </c>
      <c r="C15" s="8">
        <v>43401</v>
      </c>
      <c r="D15" s="8">
        <v>43159</v>
      </c>
      <c r="E15" s="8">
        <v>43215</v>
      </c>
      <c r="F15" s="9" t="s">
        <v>132</v>
      </c>
      <c r="G15" s="10">
        <v>2920461000</v>
      </c>
      <c r="H15" s="10">
        <v>472442000</v>
      </c>
      <c r="L15" s="13" t="s">
        <v>612</v>
      </c>
      <c r="M15" s="13" t="s">
        <v>611</v>
      </c>
      <c r="N15" s="13" t="s">
        <v>640</v>
      </c>
    </row>
    <row r="16" spans="1:14" ht="42" customHeight="1">
      <c r="A16" s="9" t="s">
        <v>616</v>
      </c>
      <c r="B16" s="9" t="s">
        <v>617</v>
      </c>
      <c r="C16" s="8">
        <v>42534</v>
      </c>
      <c r="D16" s="8">
        <v>42369</v>
      </c>
      <c r="E16" s="8">
        <v>42412</v>
      </c>
      <c r="F16" s="9" t="s">
        <v>132</v>
      </c>
      <c r="G16" s="10">
        <v>2990911000</v>
      </c>
      <c r="J16" s="10">
        <v>420472000</v>
      </c>
      <c r="K16" s="10">
        <v>254472000</v>
      </c>
      <c r="L16" s="13" t="s">
        <v>620</v>
      </c>
      <c r="M16" s="13" t="s">
        <v>619</v>
      </c>
      <c r="N16" s="13" t="s">
        <v>641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625</v>
      </c>
      <c r="D6" t="s">
        <v>65</v>
      </c>
      <c r="E6" t="s">
        <v>644</v>
      </c>
      <c r="F6" t="s">
        <v>83</v>
      </c>
      <c r="G6" t="s">
        <v>84</v>
      </c>
      <c r="H6" t="s">
        <v>86</v>
      </c>
      <c r="I6" t="s">
        <v>28</v>
      </c>
      <c r="J6" t="s">
        <v>645</v>
      </c>
      <c r="K6" t="s">
        <v>87</v>
      </c>
      <c r="L6" t="s">
        <v>88</v>
      </c>
      <c r="M6" t="s">
        <v>646</v>
      </c>
      <c r="N6" t="s">
        <v>89</v>
      </c>
      <c r="O6" t="s">
        <v>647</v>
      </c>
    </row>
    <row r="7" spans="1:15">
      <c r="A7" s="9" t="s">
        <v>107</v>
      </c>
      <c r="B7" s="8">
        <v>46219</v>
      </c>
      <c r="C7" s="9" t="s">
        <v>109</v>
      </c>
      <c r="E7" s="9" t="s">
        <v>34</v>
      </c>
      <c r="H7" s="9" t="s">
        <v>34</v>
      </c>
      <c r="I7" s="9" t="s">
        <v>35</v>
      </c>
      <c r="J7" s="9" t="s">
        <v>648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120</v>
      </c>
      <c r="B8" s="8">
        <v>46219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648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131</v>
      </c>
      <c r="B9" s="8">
        <v>46218</v>
      </c>
      <c r="C9" s="9" t="s">
        <v>34</v>
      </c>
      <c r="E9" s="9" t="s">
        <v>132</v>
      </c>
      <c r="H9" s="9" t="s">
        <v>34</v>
      </c>
      <c r="I9" s="9" t="s">
        <v>102</v>
      </c>
      <c r="J9" s="9" t="s">
        <v>648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147</v>
      </c>
      <c r="B10" s="8">
        <v>46218</v>
      </c>
      <c r="C10" s="9" t="s">
        <v>34</v>
      </c>
      <c r="E10" s="9" t="s">
        <v>34</v>
      </c>
      <c r="H10" s="9" t="s">
        <v>34</v>
      </c>
      <c r="I10" s="9" t="s">
        <v>102</v>
      </c>
      <c r="J10" s="9" t="s">
        <v>648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155</v>
      </c>
      <c r="B11" s="8">
        <v>46218</v>
      </c>
      <c r="C11" s="9" t="s">
        <v>34</v>
      </c>
      <c r="E11" s="9" t="s">
        <v>132</v>
      </c>
      <c r="H11" s="9" t="s">
        <v>34</v>
      </c>
      <c r="I11" s="9" t="s">
        <v>102</v>
      </c>
      <c r="J11" s="9" t="s">
        <v>648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198</v>
      </c>
      <c r="B12" s="8">
        <v>46211</v>
      </c>
      <c r="C12" s="9" t="s">
        <v>199</v>
      </c>
      <c r="E12" s="9" t="s">
        <v>34</v>
      </c>
      <c r="H12" s="9" t="s">
        <v>34</v>
      </c>
      <c r="I12" s="9" t="s">
        <v>35</v>
      </c>
      <c r="J12" s="9" t="s">
        <v>648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233</v>
      </c>
      <c r="B13" s="8">
        <v>46209</v>
      </c>
      <c r="C13" s="9" t="s">
        <v>34</v>
      </c>
      <c r="E13" s="9" t="s">
        <v>34</v>
      </c>
      <c r="H13" s="9" t="s">
        <v>34</v>
      </c>
      <c r="I13" s="9" t="s">
        <v>102</v>
      </c>
      <c r="J13" s="9" t="s">
        <v>648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249</v>
      </c>
      <c r="B14" s="8">
        <v>46206</v>
      </c>
      <c r="C14" s="9" t="s">
        <v>34</v>
      </c>
      <c r="E14" s="9" t="s">
        <v>34</v>
      </c>
      <c r="H14" s="9" t="s">
        <v>34</v>
      </c>
      <c r="I14" s="9" t="s">
        <v>35</v>
      </c>
      <c r="J14" s="9" t="s">
        <v>648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295</v>
      </c>
      <c r="B15" s="8">
        <v>46204</v>
      </c>
      <c r="C15" s="9" t="s">
        <v>34</v>
      </c>
      <c r="E15" s="9" t="s">
        <v>38</v>
      </c>
      <c r="H15" s="9" t="s">
        <v>34</v>
      </c>
      <c r="I15" s="9" t="s">
        <v>102</v>
      </c>
      <c r="J15" s="9" t="s">
        <v>648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298</v>
      </c>
      <c r="B16" s="8">
        <v>46204</v>
      </c>
      <c r="C16" s="9" t="s">
        <v>34</v>
      </c>
      <c r="E16" s="9" t="s">
        <v>34</v>
      </c>
      <c r="H16" s="9" t="s">
        <v>34</v>
      </c>
      <c r="I16" s="9" t="s">
        <v>102</v>
      </c>
      <c r="J16" s="9" t="s">
        <v>648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359</v>
      </c>
      <c r="B17" s="8">
        <v>46200</v>
      </c>
      <c r="C17" s="9" t="s">
        <v>34</v>
      </c>
      <c r="E17" s="9" t="s">
        <v>34</v>
      </c>
      <c r="H17" s="9" t="s">
        <v>34</v>
      </c>
      <c r="I17" s="9" t="s">
        <v>102</v>
      </c>
      <c r="J17" s="9" t="s">
        <v>648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402</v>
      </c>
      <c r="B18" s="8">
        <v>46177</v>
      </c>
      <c r="C18" s="9" t="s">
        <v>405</v>
      </c>
      <c r="E18" s="9" t="s">
        <v>34</v>
      </c>
      <c r="H18" s="9" t="s">
        <v>34</v>
      </c>
      <c r="I18" s="9" t="s">
        <v>35</v>
      </c>
      <c r="J18" s="9" t="s">
        <v>648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410</v>
      </c>
      <c r="B19" s="8">
        <v>46175</v>
      </c>
      <c r="C19" s="9" t="s">
        <v>51</v>
      </c>
      <c r="E19" s="9" t="s">
        <v>38</v>
      </c>
      <c r="H19" s="9" t="s">
        <v>34</v>
      </c>
      <c r="I19" s="9" t="s">
        <v>39</v>
      </c>
      <c r="J19" s="9" t="s">
        <v>648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412</v>
      </c>
      <c r="B20" s="8">
        <v>46170</v>
      </c>
      <c r="C20" s="9" t="s">
        <v>414</v>
      </c>
      <c r="E20" s="9" t="s">
        <v>34</v>
      </c>
      <c r="H20" s="9" t="s">
        <v>34</v>
      </c>
      <c r="I20" s="9" t="s">
        <v>35</v>
      </c>
      <c r="J20" s="9" t="s">
        <v>648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417</v>
      </c>
      <c r="B21" s="8">
        <v>46167</v>
      </c>
      <c r="C21" s="9" t="s">
        <v>34</v>
      </c>
      <c r="E21" s="9" t="s">
        <v>34</v>
      </c>
      <c r="H21" s="9" t="s">
        <v>34</v>
      </c>
      <c r="I21" s="9" t="s">
        <v>102</v>
      </c>
      <c r="J21" s="9" t="s">
        <v>648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426</v>
      </c>
      <c r="B22" s="8">
        <v>46157</v>
      </c>
      <c r="C22" s="9" t="s">
        <v>34</v>
      </c>
      <c r="E22" s="9" t="s">
        <v>34</v>
      </c>
      <c r="H22" s="9" t="s">
        <v>34</v>
      </c>
      <c r="I22" s="9" t="s">
        <v>102</v>
      </c>
      <c r="J22" s="9" t="s">
        <v>648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433</v>
      </c>
      <c r="B23" s="8">
        <v>46149</v>
      </c>
      <c r="C23" s="9" t="s">
        <v>34</v>
      </c>
      <c r="E23" s="9" t="s">
        <v>34</v>
      </c>
      <c r="H23" s="9" t="s">
        <v>34</v>
      </c>
      <c r="I23" s="9" t="s">
        <v>35</v>
      </c>
      <c r="J23" s="9" t="s">
        <v>648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445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102</v>
      </c>
      <c r="J24" s="9" t="s">
        <v>648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448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102</v>
      </c>
      <c r="J25" s="9" t="s">
        <v>648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451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102</v>
      </c>
      <c r="J26" s="9" t="s">
        <v>648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455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102</v>
      </c>
      <c r="J27" s="9" t="s">
        <v>648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101</v>
      </c>
    </row>
    <row r="28" spans="1:15">
      <c r="A28" s="9" t="s">
        <v>459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102</v>
      </c>
      <c r="J28" s="9" t="s">
        <v>648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101</v>
      </c>
    </row>
    <row r="29" spans="1:15">
      <c r="A29" s="9" t="s">
        <v>478</v>
      </c>
      <c r="B29" s="8">
        <v>46128</v>
      </c>
      <c r="C29" s="9" t="s">
        <v>479</v>
      </c>
      <c r="E29" s="9" t="s">
        <v>38</v>
      </c>
      <c r="H29" s="9" t="s">
        <v>34</v>
      </c>
      <c r="I29" s="9" t="s">
        <v>35</v>
      </c>
      <c r="J29" s="9" t="s">
        <v>648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101</v>
      </c>
    </row>
    <row r="30" spans="1:15">
      <c r="A30" s="9" t="s">
        <v>510</v>
      </c>
      <c r="B30" s="8">
        <v>45642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648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101</v>
      </c>
    </row>
    <row r="31" spans="1:15">
      <c r="A31" s="9" t="s">
        <v>524</v>
      </c>
      <c r="B31" s="8">
        <v>45288</v>
      </c>
      <c r="C31" s="9" t="s">
        <v>525</v>
      </c>
      <c r="E31" s="9" t="s">
        <v>34</v>
      </c>
      <c r="H31" s="9" t="s">
        <v>34</v>
      </c>
      <c r="I31" s="9" t="s">
        <v>35</v>
      </c>
      <c r="J31" s="9" t="s">
        <v>648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101</v>
      </c>
    </row>
    <row r="32" spans="1:15">
      <c r="A32" s="9" t="s">
        <v>529</v>
      </c>
      <c r="B32" s="8">
        <v>45190</v>
      </c>
      <c r="C32" s="9" t="s">
        <v>530</v>
      </c>
      <c r="E32" s="9" t="s">
        <v>132</v>
      </c>
      <c r="F32" s="10">
        <v>3653708000</v>
      </c>
      <c r="H32" s="9" t="s">
        <v>132</v>
      </c>
      <c r="I32" s="9" t="s">
        <v>39</v>
      </c>
      <c r="J32" s="9" t="s">
        <v>649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536</v>
      </c>
      <c r="O32" s="9" t="s">
        <v>538</v>
      </c>
    </row>
    <row r="33" spans="1:15">
      <c r="A33" s="9" t="s">
        <v>542</v>
      </c>
      <c r="B33" s="8">
        <v>44707</v>
      </c>
      <c r="C33" s="9" t="s">
        <v>543</v>
      </c>
      <c r="D33" s="10">
        <v>69000000000</v>
      </c>
      <c r="E33" s="9" t="s">
        <v>132</v>
      </c>
      <c r="F33" s="10">
        <v>12851000000</v>
      </c>
      <c r="G33" s="10">
        <v>2966000000</v>
      </c>
      <c r="H33" s="9" t="s">
        <v>132</v>
      </c>
      <c r="I33" s="9" t="s">
        <v>39</v>
      </c>
      <c r="J33" s="9" t="s">
        <v>649</v>
      </c>
      <c r="K33" s="12">
        <f>IFERROR(IF(AND(D33&gt;0,F33&gt;0,E33=H33),D33/F33,""),"")</f>
        <v>5.369231966383939</v>
      </c>
      <c r="L33" s="12">
        <f>IFERROR(IF(AND(D33&gt;0,G33&gt;0,E33=H33),D33/G33,""),"")</f>
        <v>23.263654753877276</v>
      </c>
      <c r="M33" t="str">
        <f>IF(AND(I33="approved",J33="YES",OR(K33&gt;0,L33&gt;0)),"YES","NO")</f>
        <v>YES</v>
      </c>
      <c r="N33" s="9" t="s">
        <v>548</v>
      </c>
      <c r="O33" s="9" t="s">
        <v>538</v>
      </c>
    </row>
    <row r="34" spans="1:15">
      <c r="A34" s="9" t="s">
        <v>553</v>
      </c>
      <c r="B34" s="8">
        <v>44640</v>
      </c>
      <c r="C34" s="9" t="s">
        <v>554</v>
      </c>
      <c r="E34" s="9" t="s">
        <v>132</v>
      </c>
      <c r="F34" s="10">
        <v>592200000</v>
      </c>
      <c r="H34" s="9" t="s">
        <v>132</v>
      </c>
      <c r="I34" s="9" t="s">
        <v>39</v>
      </c>
      <c r="J34" s="9" t="s">
        <v>648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557</v>
      </c>
      <c r="O34" s="9" t="s">
        <v>559</v>
      </c>
    </row>
    <row r="35" spans="1:15">
      <c r="A35" s="9" t="s">
        <v>563</v>
      </c>
      <c r="B35" s="8">
        <v>44592</v>
      </c>
      <c r="C35" s="9" t="s">
        <v>564</v>
      </c>
      <c r="D35" s="10">
        <v>16500000000</v>
      </c>
      <c r="E35" s="9" t="s">
        <v>132</v>
      </c>
      <c r="F35" s="10">
        <v>3217170000</v>
      </c>
      <c r="H35" s="9" t="s">
        <v>132</v>
      </c>
      <c r="I35" s="9" t="s">
        <v>39</v>
      </c>
      <c r="J35" s="9" t="s">
        <v>648</v>
      </c>
      <c r="K35" s="12">
        <f>IFERROR(IF(AND(D35&gt;0,F35&gt;0,E35=H35),D35/F35,""),"")</f>
        <v>5.1287311519130165</v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567</v>
      </c>
      <c r="O35" s="9" t="s">
        <v>559</v>
      </c>
    </row>
    <row r="36" spans="1:15">
      <c r="A36" s="9" t="s">
        <v>572</v>
      </c>
      <c r="B36" s="8">
        <v>44579</v>
      </c>
      <c r="C36" s="9" t="s">
        <v>573</v>
      </c>
      <c r="D36" s="10">
        <v>68700000000</v>
      </c>
      <c r="E36" s="9" t="s">
        <v>132</v>
      </c>
      <c r="F36" s="10">
        <v>8086000000</v>
      </c>
      <c r="H36" s="9" t="s">
        <v>132</v>
      </c>
      <c r="I36" s="9" t="s">
        <v>39</v>
      </c>
      <c r="J36" s="9" t="s">
        <v>649</v>
      </c>
      <c r="K36" s="12">
        <f>IFERROR(IF(AND(D36&gt;0,F36&gt;0,E36=H36),D36/F36,""),"")</f>
        <v>8.496166213208014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577</v>
      </c>
      <c r="O36" s="9" t="s">
        <v>538</v>
      </c>
    </row>
    <row r="37" spans="1:15">
      <c r="A37" s="9" t="s">
        <v>582</v>
      </c>
      <c r="B37" s="8">
        <v>44166</v>
      </c>
      <c r="C37" s="9" t="s">
        <v>583</v>
      </c>
      <c r="D37" s="10">
        <v>27700000000</v>
      </c>
      <c r="E37" s="9" t="s">
        <v>132</v>
      </c>
      <c r="F37" s="10">
        <v>630422000</v>
      </c>
      <c r="H37" s="9" t="s">
        <v>132</v>
      </c>
      <c r="I37" s="9" t="s">
        <v>39</v>
      </c>
      <c r="J37" s="9" t="s">
        <v>649</v>
      </c>
      <c r="K37" s="12">
        <f>IFERROR(IF(AND(D37&gt;0,F37&gt;0,E37=H37),D37/F37,""),"")</f>
        <v>43.938821931975724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586</v>
      </c>
      <c r="O37" s="9" t="s">
        <v>538</v>
      </c>
    </row>
    <row r="38" spans="1:15">
      <c r="A38" s="9" t="s">
        <v>591</v>
      </c>
      <c r="B38" s="8">
        <v>44131</v>
      </c>
      <c r="C38" s="9" t="s">
        <v>592</v>
      </c>
      <c r="E38" s="9" t="s">
        <v>132</v>
      </c>
      <c r="F38" s="10">
        <v>3162666000</v>
      </c>
      <c r="H38" s="9" t="s">
        <v>132</v>
      </c>
      <c r="I38" s="9" t="s">
        <v>39</v>
      </c>
      <c r="J38" s="9" t="s">
        <v>649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595</v>
      </c>
      <c r="O38" s="9" t="s">
        <v>538</v>
      </c>
    </row>
    <row r="39" spans="1:15">
      <c r="A39" s="9" t="s">
        <v>600</v>
      </c>
      <c r="B39" s="8">
        <v>43626</v>
      </c>
      <c r="C39" s="9" t="s">
        <v>601</v>
      </c>
      <c r="D39" s="10">
        <v>15700000000</v>
      </c>
      <c r="E39" s="9" t="s">
        <v>132</v>
      </c>
      <c r="F39" s="10">
        <v>1159000000</v>
      </c>
      <c r="H39" s="9" t="s">
        <v>132</v>
      </c>
      <c r="I39" s="9" t="s">
        <v>39</v>
      </c>
      <c r="J39" s="9" t="s">
        <v>649</v>
      </c>
      <c r="K39" s="12">
        <f>IFERROR(IF(AND(D39&gt;0,F39&gt;0,E39=H39),D39/F39,""),"")</f>
        <v>13.546160483175152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603</v>
      </c>
      <c r="O39" s="9" t="s">
        <v>538</v>
      </c>
    </row>
    <row r="40" spans="1:15">
      <c r="A40" s="9" t="s">
        <v>607</v>
      </c>
      <c r="B40" s="8">
        <v>43401</v>
      </c>
      <c r="C40" s="9" t="s">
        <v>608</v>
      </c>
      <c r="D40" s="10">
        <v>34000000000</v>
      </c>
      <c r="E40" s="9" t="s">
        <v>132</v>
      </c>
      <c r="F40" s="10">
        <v>2920461000</v>
      </c>
      <c r="H40" s="9" t="s">
        <v>132</v>
      </c>
      <c r="I40" s="9" t="s">
        <v>39</v>
      </c>
      <c r="J40" s="9" t="s">
        <v>649</v>
      </c>
      <c r="K40" s="12">
        <f>IFERROR(IF(AND(D40&gt;0,F40&gt;0,E40=H40),D40/F40,""),"")</f>
        <v>11.641997616129782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611</v>
      </c>
      <c r="O40" s="9" t="s">
        <v>538</v>
      </c>
    </row>
    <row r="41" spans="1:15">
      <c r="A41" s="9" t="s">
        <v>616</v>
      </c>
      <c r="B41" s="8">
        <v>42534</v>
      </c>
      <c r="C41" s="9" t="s">
        <v>617</v>
      </c>
      <c r="D41" s="10">
        <v>26200000000</v>
      </c>
      <c r="E41" s="9" t="s">
        <v>132</v>
      </c>
      <c r="F41" s="10">
        <v>2990911000</v>
      </c>
      <c r="G41" s="10">
        <v>254472000</v>
      </c>
      <c r="H41" s="9" t="s">
        <v>132</v>
      </c>
      <c r="I41" s="9" t="s">
        <v>39</v>
      </c>
      <c r="J41" s="9" t="s">
        <v>649</v>
      </c>
      <c r="K41" s="12">
        <f>IFERROR(IF(AND(D41&gt;0,F41&gt;0,E41=H41),D41/F41,""),"")</f>
        <v>8.7598728280447</v>
      </c>
      <c r="L41" s="12">
        <f>IFERROR(IF(AND(D41&gt;0,G41&gt;0,E41=H41),D41/G41,""),"")</f>
        <v>102.95828224716276</v>
      </c>
      <c r="M41" t="str">
        <f>IF(AND(I41="approved",J41="YES",OR(K41&gt;0,L41&gt;0)),"YES","NO")</f>
        <v>YES</v>
      </c>
      <c r="N41" s="9" t="s">
        <v>619</v>
      </c>
      <c r="O41" s="9" t="s">
        <v>538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759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652</v>
      </c>
      <c r="E6" t="s">
        <v>653</v>
      </c>
      <c r="F6" t="s">
        <v>93</v>
      </c>
      <c r="G6" t="s">
        <v>654</v>
      </c>
      <c r="H6" t="s">
        <v>655</v>
      </c>
      <c r="I6" t="s">
        <v>656</v>
      </c>
      <c r="J6" t="s">
        <v>657</v>
      </c>
      <c r="K6" t="s">
        <v>30</v>
      </c>
      <c r="M6" s="4" t="s">
        <v>760</v>
      </c>
      <c r="N6" s="4" t="s">
        <v>761</v>
      </c>
      <c r="O6" s="4" t="s">
        <v>762</v>
      </c>
      <c r="P6" s="4" t="s">
        <v>763</v>
      </c>
      <c r="Q6" s="4" t="s">
        <v>764</v>
      </c>
      <c r="R6" s="4" t="s">
        <v>23</v>
      </c>
    </row>
    <row r="7" spans="1:18" ht="28" customHeight="1">
      <c r="A7" s="9" t="s">
        <v>97</v>
      </c>
      <c r="B7" s="8">
        <v>46220</v>
      </c>
      <c r="C7" s="9" t="s">
        <v>34</v>
      </c>
      <c r="D7" s="9" t="s">
        <v>104</v>
      </c>
      <c r="E7" s="9" t="s">
        <v>658</v>
      </c>
      <c r="F7" s="9" t="s">
        <v>103</v>
      </c>
      <c r="G7" s="9" t="s">
        <v>105</v>
      </c>
      <c r="H7" s="9"/>
      <c r="I7" s="9">
        <v>2</v>
      </c>
      <c r="J7" s="13" t="s">
        <v>659</v>
      </c>
      <c r="K7" s="13" t="s">
        <v>106</v>
      </c>
      <c r="M7" t="s">
        <v>765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46219</v>
      </c>
      <c r="C8" s="9" t="s">
        <v>109</v>
      </c>
      <c r="D8" s="9" t="s">
        <v>112</v>
      </c>
      <c r="E8" s="9" t="s">
        <v>660</v>
      </c>
      <c r="F8" s="9" t="s">
        <v>103</v>
      </c>
      <c r="G8" s="9" t="s">
        <v>113</v>
      </c>
      <c r="H8" s="9"/>
      <c r="I8" s="9">
        <v>2</v>
      </c>
      <c r="J8" s="13" t="s">
        <v>661</v>
      </c>
      <c r="K8" s="13" t="s">
        <v>114</v>
      </c>
      <c r="M8" t="s">
        <v>766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46219</v>
      </c>
      <c r="C9" s="9" t="s">
        <v>34</v>
      </c>
      <c r="D9" s="9" t="s">
        <v>117</v>
      </c>
      <c r="E9" s="9" t="s">
        <v>658</v>
      </c>
      <c r="F9" s="9" t="s">
        <v>103</v>
      </c>
      <c r="G9" s="9" t="s">
        <v>118</v>
      </c>
      <c r="H9" s="9"/>
      <c r="I9" s="9">
        <v>2</v>
      </c>
      <c r="J9" s="13" t="s">
        <v>662</v>
      </c>
      <c r="K9" s="13" t="s">
        <v>119</v>
      </c>
      <c r="M9" t="s">
        <v>767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120</v>
      </c>
      <c r="B10" s="8">
        <v>46219</v>
      </c>
      <c r="C10" s="9" t="s">
        <v>34</v>
      </c>
      <c r="D10" s="9" t="s">
        <v>121</v>
      </c>
      <c r="E10" s="9" t="s">
        <v>658</v>
      </c>
      <c r="F10" s="9" t="s">
        <v>103</v>
      </c>
      <c r="G10" s="9" t="s">
        <v>122</v>
      </c>
      <c r="H10" s="9"/>
      <c r="I10" s="9">
        <v>2</v>
      </c>
      <c r="J10" s="13" t="s">
        <v>663</v>
      </c>
      <c r="K10" s="13" t="s">
        <v>123</v>
      </c>
      <c r="M10" t="s">
        <v>768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46218</v>
      </c>
      <c r="C11" s="9" t="s">
        <v>34</v>
      </c>
      <c r="D11" s="9" t="s">
        <v>128</v>
      </c>
      <c r="E11" s="9" t="s">
        <v>664</v>
      </c>
      <c r="F11" s="9" t="s">
        <v>127</v>
      </c>
      <c r="G11" s="9" t="s">
        <v>129</v>
      </c>
      <c r="H11" s="8">
        <v>46218</v>
      </c>
      <c r="I11" s="9">
        <v>1</v>
      </c>
      <c r="J11" s="13" t="s">
        <v>129</v>
      </c>
      <c r="K11" s="13" t="s">
        <v>130</v>
      </c>
      <c r="M11" t="s">
        <v>769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46218</v>
      </c>
      <c r="C12" s="9" t="s">
        <v>34</v>
      </c>
      <c r="D12" s="9" t="s">
        <v>133</v>
      </c>
      <c r="E12" s="9" t="s">
        <v>660</v>
      </c>
      <c r="F12" s="9" t="s">
        <v>103</v>
      </c>
      <c r="G12" s="9" t="s">
        <v>134</v>
      </c>
      <c r="H12" s="9"/>
      <c r="I12" s="9">
        <v>2</v>
      </c>
      <c r="J12" s="13" t="s">
        <v>665</v>
      </c>
      <c r="K12" s="13" t="s">
        <v>135</v>
      </c>
      <c r="M12" t="s">
        <v>770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131</v>
      </c>
      <c r="B13" s="8">
        <v>46218</v>
      </c>
      <c r="C13" s="9" t="s">
        <v>34</v>
      </c>
      <c r="D13" s="9" t="s">
        <v>666</v>
      </c>
      <c r="E13" s="9" t="s">
        <v>658</v>
      </c>
      <c r="F13" s="9" t="s">
        <v>103</v>
      </c>
      <c r="G13" s="9" t="s">
        <v>667</v>
      </c>
      <c r="H13" s="9"/>
      <c r="I13" s="9">
        <v>1</v>
      </c>
      <c r="J13" s="13" t="s">
        <v>667</v>
      </c>
      <c r="K13" s="13" t="s">
        <v>135</v>
      </c>
      <c r="M13" t="s">
        <v>771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131</v>
      </c>
      <c r="B14" s="8">
        <v>46218</v>
      </c>
      <c r="C14" s="9" t="s">
        <v>34</v>
      </c>
      <c r="D14" s="9" t="s">
        <v>117</v>
      </c>
      <c r="E14" s="9" t="s">
        <v>658</v>
      </c>
      <c r="F14" s="9" t="s">
        <v>103</v>
      </c>
      <c r="G14" s="9" t="s">
        <v>668</v>
      </c>
      <c r="H14" s="9"/>
      <c r="I14" s="9">
        <v>1</v>
      </c>
      <c r="J14" s="13" t="s">
        <v>668</v>
      </c>
      <c r="K14" s="13" t="s">
        <v>135</v>
      </c>
      <c r="M14" t="s">
        <v>772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136</v>
      </c>
      <c r="B15" s="8">
        <v>46218</v>
      </c>
      <c r="C15" s="9" t="s">
        <v>137</v>
      </c>
      <c r="D15" s="9" t="s">
        <v>139</v>
      </c>
      <c r="E15" s="9" t="s">
        <v>658</v>
      </c>
      <c r="F15" s="9" t="s">
        <v>103</v>
      </c>
      <c r="G15" s="9" t="s">
        <v>140</v>
      </c>
      <c r="H15" s="9"/>
      <c r="I15" s="9">
        <v>2</v>
      </c>
      <c r="J15" s="13" t="s">
        <v>669</v>
      </c>
      <c r="K15" s="13" t="s">
        <v>141</v>
      </c>
    </row>
    <row r="16" spans="1:18" ht="28" customHeight="1">
      <c r="A16" s="9" t="s">
        <v>142</v>
      </c>
      <c r="B16" s="8">
        <v>46218</v>
      </c>
      <c r="C16" s="9" t="s">
        <v>143</v>
      </c>
      <c r="D16" s="9" t="s">
        <v>139</v>
      </c>
      <c r="E16" s="9" t="s">
        <v>658</v>
      </c>
      <c r="F16" s="9" t="s">
        <v>103</v>
      </c>
      <c r="G16" s="9" t="s">
        <v>145</v>
      </c>
      <c r="H16" s="9"/>
      <c r="I16" s="9">
        <v>2</v>
      </c>
      <c r="J16" s="13" t="s">
        <v>670</v>
      </c>
      <c r="K16" s="13" t="s">
        <v>146</v>
      </c>
      <c r="M16" s="3" t="s">
        <v>773</v>
      </c>
      <c r="N16" s="3"/>
      <c r="O16" s="3"/>
      <c r="P16" s="3"/>
      <c r="Q16" s="3"/>
      <c r="R16" t="s">
        <v>13</v>
      </c>
    </row>
    <row r="17" spans="1:11" ht="28" customHeight="1">
      <c r="A17" s="9" t="s">
        <v>147</v>
      </c>
      <c r="B17" s="8">
        <v>46218</v>
      </c>
      <c r="C17" s="9" t="s">
        <v>34</v>
      </c>
      <c r="D17" s="9" t="s">
        <v>148</v>
      </c>
      <c r="E17" s="9" t="s">
        <v>658</v>
      </c>
      <c r="F17" s="9" t="s">
        <v>103</v>
      </c>
      <c r="G17" s="9" t="s">
        <v>149</v>
      </c>
      <c r="H17" s="9"/>
      <c r="I17" s="9">
        <v>1</v>
      </c>
      <c r="J17" s="13" t="s">
        <v>149</v>
      </c>
      <c r="K17" s="13" t="s">
        <v>150</v>
      </c>
    </row>
    <row r="18" spans="1:11" ht="28" customHeight="1">
      <c r="A18" s="9" t="s">
        <v>151</v>
      </c>
      <c r="B18" s="8">
        <v>46218</v>
      </c>
      <c r="C18" s="9" t="s">
        <v>152</v>
      </c>
      <c r="D18" s="9" t="s">
        <v>104</v>
      </c>
      <c r="E18" s="9" t="s">
        <v>658</v>
      </c>
      <c r="F18" s="9" t="s">
        <v>103</v>
      </c>
      <c r="G18" s="9" t="s">
        <v>153</v>
      </c>
      <c r="H18" s="9"/>
      <c r="I18" s="9">
        <v>2</v>
      </c>
      <c r="J18" s="13" t="s">
        <v>671</v>
      </c>
      <c r="K18" s="13" t="s">
        <v>154</v>
      </c>
    </row>
    <row r="19" spans="1:11" ht="28" customHeight="1">
      <c r="A19" s="9" t="s">
        <v>155</v>
      </c>
      <c r="B19" s="8">
        <v>46218</v>
      </c>
      <c r="C19" s="9" t="s">
        <v>34</v>
      </c>
      <c r="D19" s="9" t="s">
        <v>156</v>
      </c>
      <c r="E19" s="9" t="s">
        <v>658</v>
      </c>
      <c r="F19" s="9" t="s">
        <v>103</v>
      </c>
      <c r="G19" s="9" t="s">
        <v>157</v>
      </c>
      <c r="H19" s="9"/>
      <c r="I19" s="9">
        <v>2</v>
      </c>
      <c r="J19" s="13" t="s">
        <v>672</v>
      </c>
      <c r="K19" s="13" t="s">
        <v>158</v>
      </c>
    </row>
    <row r="20" spans="1:11" ht="28" customHeight="1">
      <c r="A20" s="9" t="s">
        <v>159</v>
      </c>
      <c r="B20" s="8">
        <v>46217</v>
      </c>
      <c r="C20" s="9" t="s">
        <v>32</v>
      </c>
      <c r="D20" s="9" t="s">
        <v>128</v>
      </c>
      <c r="E20" s="9" t="s">
        <v>664</v>
      </c>
      <c r="F20" s="9" t="s">
        <v>127</v>
      </c>
      <c r="G20" s="9" t="s">
        <v>161</v>
      </c>
      <c r="H20" s="8">
        <v>46217</v>
      </c>
      <c r="I20" s="9">
        <v>1</v>
      </c>
      <c r="J20" s="13" t="s">
        <v>161</v>
      </c>
      <c r="K20" s="13" t="s">
        <v>36</v>
      </c>
    </row>
    <row r="21" spans="1:11" ht="28" customHeight="1">
      <c r="A21" s="9" t="s">
        <v>162</v>
      </c>
      <c r="B21" s="8">
        <v>46217</v>
      </c>
      <c r="C21" s="9" t="s">
        <v>163</v>
      </c>
      <c r="D21" s="9" t="s">
        <v>128</v>
      </c>
      <c r="E21" s="9" t="s">
        <v>664</v>
      </c>
      <c r="F21" s="9" t="s">
        <v>127</v>
      </c>
      <c r="G21" s="9" t="s">
        <v>165</v>
      </c>
      <c r="H21" s="8">
        <v>46217</v>
      </c>
      <c r="I21" s="9">
        <v>1</v>
      </c>
      <c r="J21" s="13" t="s">
        <v>165</v>
      </c>
      <c r="K21" s="13" t="s">
        <v>166</v>
      </c>
    </row>
    <row r="22" spans="1:11" ht="28" customHeight="1">
      <c r="A22" s="9" t="s">
        <v>167</v>
      </c>
      <c r="B22" s="8">
        <v>46216</v>
      </c>
      <c r="C22" s="9" t="s">
        <v>37</v>
      </c>
      <c r="D22" s="9" t="s">
        <v>128</v>
      </c>
      <c r="E22" s="9" t="s">
        <v>664</v>
      </c>
      <c r="F22" s="9" t="s">
        <v>127</v>
      </c>
      <c r="G22" s="9" t="s">
        <v>170</v>
      </c>
      <c r="H22" s="8">
        <v>46216</v>
      </c>
      <c r="I22" s="9">
        <v>1</v>
      </c>
      <c r="J22" s="13" t="s">
        <v>170</v>
      </c>
      <c r="K22" s="13" t="s">
        <v>37</v>
      </c>
    </row>
    <row r="23" spans="1:11" ht="28" customHeight="1">
      <c r="A23" s="9" t="s">
        <v>171</v>
      </c>
      <c r="B23" s="8">
        <v>46213</v>
      </c>
      <c r="C23" s="9" t="s">
        <v>34</v>
      </c>
      <c r="D23" s="9" t="s">
        <v>174</v>
      </c>
      <c r="E23" s="9" t="s">
        <v>673</v>
      </c>
      <c r="F23" s="9" t="s">
        <v>127</v>
      </c>
      <c r="G23" s="9" t="s">
        <v>175</v>
      </c>
      <c r="H23" s="9"/>
      <c r="I23" s="9">
        <v>1</v>
      </c>
      <c r="J23" s="13" t="s">
        <v>175</v>
      </c>
      <c r="K23" s="13" t="s">
        <v>176</v>
      </c>
    </row>
    <row r="24" spans="1:11" ht="28" customHeight="1">
      <c r="A24" s="9" t="s">
        <v>177</v>
      </c>
      <c r="B24" s="8">
        <v>46212</v>
      </c>
      <c r="C24" s="9" t="s">
        <v>178</v>
      </c>
      <c r="D24" s="9" t="s">
        <v>128</v>
      </c>
      <c r="E24" s="9" t="s">
        <v>664</v>
      </c>
      <c r="F24" s="9" t="s">
        <v>127</v>
      </c>
      <c r="G24" s="9" t="s">
        <v>181</v>
      </c>
      <c r="H24" s="8">
        <v>46212</v>
      </c>
      <c r="I24" s="9">
        <v>1</v>
      </c>
      <c r="J24" s="13" t="s">
        <v>181</v>
      </c>
      <c r="K24" s="13" t="s">
        <v>182</v>
      </c>
    </row>
    <row r="25" spans="1:11" ht="28" customHeight="1">
      <c r="A25" s="9" t="s">
        <v>183</v>
      </c>
      <c r="B25" s="8">
        <v>46211</v>
      </c>
      <c r="C25" s="9" t="s">
        <v>34</v>
      </c>
      <c r="D25" s="9" t="s">
        <v>128</v>
      </c>
      <c r="E25" s="9" t="s">
        <v>664</v>
      </c>
      <c r="F25" s="9" t="s">
        <v>127</v>
      </c>
      <c r="G25" s="9" t="s">
        <v>184</v>
      </c>
      <c r="H25" s="8">
        <v>46211</v>
      </c>
      <c r="I25" s="9">
        <v>1</v>
      </c>
      <c r="J25" s="13" t="s">
        <v>184</v>
      </c>
      <c r="K25" s="13" t="s">
        <v>185</v>
      </c>
    </row>
    <row r="26" spans="1:11" ht="28" customHeight="1">
      <c r="A26" s="9" t="s">
        <v>186</v>
      </c>
      <c r="B26" s="8">
        <v>46211</v>
      </c>
      <c r="C26" s="9" t="s">
        <v>41</v>
      </c>
      <c r="D26" s="9" t="s">
        <v>188</v>
      </c>
      <c r="E26" s="9" t="s">
        <v>674</v>
      </c>
      <c r="F26" s="9" t="s">
        <v>127</v>
      </c>
      <c r="G26" s="9" t="s">
        <v>189</v>
      </c>
      <c r="H26" s="8">
        <v>46211</v>
      </c>
      <c r="I26" s="9">
        <v>1</v>
      </c>
      <c r="J26" s="13" t="s">
        <v>189</v>
      </c>
      <c r="K26" s="13" t="s">
        <v>42</v>
      </c>
    </row>
    <row r="27" spans="1:11" ht="28" customHeight="1">
      <c r="A27" s="9" t="s">
        <v>190</v>
      </c>
      <c r="B27" s="8">
        <v>46211</v>
      </c>
      <c r="C27" s="9" t="s">
        <v>191</v>
      </c>
      <c r="D27" s="9" t="s">
        <v>192</v>
      </c>
      <c r="E27" s="9" t="s">
        <v>658</v>
      </c>
      <c r="F27" s="9" t="s">
        <v>103</v>
      </c>
      <c r="G27" s="9" t="s">
        <v>193</v>
      </c>
      <c r="H27" s="9"/>
      <c r="I27" s="9">
        <v>2</v>
      </c>
      <c r="J27" s="13" t="s">
        <v>675</v>
      </c>
      <c r="K27" s="13" t="s">
        <v>194</v>
      </c>
    </row>
    <row r="28" spans="1:11" ht="28" customHeight="1">
      <c r="A28" s="9" t="s">
        <v>195</v>
      </c>
      <c r="B28" s="8">
        <v>46211</v>
      </c>
      <c r="C28" s="9" t="s">
        <v>34</v>
      </c>
      <c r="D28" s="9" t="s">
        <v>104</v>
      </c>
      <c r="E28" s="9" t="s">
        <v>658</v>
      </c>
      <c r="F28" s="9" t="s">
        <v>103</v>
      </c>
      <c r="G28" s="9" t="s">
        <v>196</v>
      </c>
      <c r="H28" s="9"/>
      <c r="I28" s="9">
        <v>2</v>
      </c>
      <c r="J28" s="13" t="s">
        <v>676</v>
      </c>
      <c r="K28" s="13" t="s">
        <v>197</v>
      </c>
    </row>
    <row r="29" spans="1:11" ht="28" customHeight="1">
      <c r="A29" s="9" t="s">
        <v>198</v>
      </c>
      <c r="B29" s="8">
        <v>46211</v>
      </c>
      <c r="C29" s="9" t="s">
        <v>199</v>
      </c>
      <c r="D29" s="9" t="s">
        <v>201</v>
      </c>
      <c r="E29" s="9" t="s">
        <v>658</v>
      </c>
      <c r="F29" s="9" t="s">
        <v>103</v>
      </c>
      <c r="G29" s="9" t="s">
        <v>202</v>
      </c>
      <c r="H29" s="9"/>
      <c r="I29" s="9">
        <v>2</v>
      </c>
      <c r="J29" s="13" t="s">
        <v>677</v>
      </c>
      <c r="K29" s="13" t="s">
        <v>203</v>
      </c>
    </row>
    <row r="30" spans="1:11" ht="28" customHeight="1">
      <c r="A30" s="9" t="s">
        <v>204</v>
      </c>
      <c r="B30" s="8">
        <v>46211</v>
      </c>
      <c r="C30" s="9" t="s">
        <v>205</v>
      </c>
      <c r="D30" s="9" t="s">
        <v>201</v>
      </c>
      <c r="E30" s="9" t="s">
        <v>658</v>
      </c>
      <c r="F30" s="9" t="s">
        <v>103</v>
      </c>
      <c r="G30" s="9" t="s">
        <v>206</v>
      </c>
      <c r="H30" s="9"/>
      <c r="I30" s="9">
        <v>2</v>
      </c>
      <c r="J30" s="13" t="s">
        <v>678</v>
      </c>
      <c r="K30" s="13" t="s">
        <v>207</v>
      </c>
    </row>
    <row r="31" spans="1:11" ht="28" customHeight="1">
      <c r="A31" s="9" t="s">
        <v>208</v>
      </c>
      <c r="B31" s="8">
        <v>46211</v>
      </c>
      <c r="C31" s="9" t="s">
        <v>209</v>
      </c>
      <c r="D31" s="9" t="s">
        <v>104</v>
      </c>
      <c r="E31" s="9" t="s">
        <v>658</v>
      </c>
      <c r="F31" s="9" t="s">
        <v>103</v>
      </c>
      <c r="G31" s="9" t="s">
        <v>210</v>
      </c>
      <c r="H31" s="9"/>
      <c r="I31" s="9">
        <v>2</v>
      </c>
      <c r="J31" s="13" t="s">
        <v>679</v>
      </c>
      <c r="K31" s="13" t="s">
        <v>211</v>
      </c>
    </row>
    <row r="32" spans="1:11" ht="28" customHeight="1">
      <c r="A32" s="9" t="s">
        <v>212</v>
      </c>
      <c r="B32" s="8">
        <v>46211</v>
      </c>
      <c r="C32" s="9" t="s">
        <v>34</v>
      </c>
      <c r="D32" s="9" t="s">
        <v>213</v>
      </c>
      <c r="E32" s="9" t="s">
        <v>658</v>
      </c>
      <c r="F32" s="9" t="s">
        <v>103</v>
      </c>
      <c r="G32" s="9" t="s">
        <v>214</v>
      </c>
      <c r="H32" s="9"/>
      <c r="I32" s="9">
        <v>2</v>
      </c>
      <c r="J32" s="13" t="s">
        <v>680</v>
      </c>
      <c r="K32" s="13" t="s">
        <v>215</v>
      </c>
    </row>
    <row r="33" spans="1:11" ht="28" customHeight="1">
      <c r="A33" s="9" t="s">
        <v>216</v>
      </c>
      <c r="B33" s="8">
        <v>46211</v>
      </c>
      <c r="C33" s="9" t="s">
        <v>143</v>
      </c>
      <c r="D33" s="9" t="s">
        <v>201</v>
      </c>
      <c r="E33" s="9" t="s">
        <v>658</v>
      </c>
      <c r="F33" s="9" t="s">
        <v>103</v>
      </c>
      <c r="G33" s="9" t="s">
        <v>217</v>
      </c>
      <c r="H33" s="9"/>
      <c r="I33" s="9">
        <v>2</v>
      </c>
      <c r="J33" s="13" t="s">
        <v>681</v>
      </c>
      <c r="K33" s="13" t="s">
        <v>207</v>
      </c>
    </row>
    <row r="34" spans="1:11" ht="28" customHeight="1">
      <c r="A34" s="9" t="s">
        <v>218</v>
      </c>
      <c r="B34" s="8">
        <v>46210</v>
      </c>
      <c r="C34" s="9" t="s">
        <v>34</v>
      </c>
      <c r="D34" s="9" t="s">
        <v>128</v>
      </c>
      <c r="E34" s="9" t="s">
        <v>664</v>
      </c>
      <c r="F34" s="9" t="s">
        <v>127</v>
      </c>
      <c r="G34" s="9" t="s">
        <v>219</v>
      </c>
      <c r="H34" s="8">
        <v>46210</v>
      </c>
      <c r="I34" s="9">
        <v>1</v>
      </c>
      <c r="J34" s="13" t="s">
        <v>219</v>
      </c>
      <c r="K34" s="13" t="s">
        <v>220</v>
      </c>
    </row>
    <row r="35" spans="1:11" ht="28" customHeight="1">
      <c r="A35" s="9" t="s">
        <v>221</v>
      </c>
      <c r="B35" s="8">
        <v>46210</v>
      </c>
      <c r="C35" s="9" t="s">
        <v>34</v>
      </c>
      <c r="D35" s="9" t="s">
        <v>128</v>
      </c>
      <c r="E35" s="9" t="s">
        <v>664</v>
      </c>
      <c r="F35" s="9" t="s">
        <v>127</v>
      </c>
      <c r="G35" s="9" t="s">
        <v>223</v>
      </c>
      <c r="H35" s="8">
        <v>46210</v>
      </c>
      <c r="I35" s="9">
        <v>1</v>
      </c>
      <c r="J35" s="13" t="s">
        <v>223</v>
      </c>
      <c r="K35" s="13" t="s">
        <v>224</v>
      </c>
    </row>
    <row r="36" spans="1:11" ht="28" customHeight="1">
      <c r="A36" s="9" t="s">
        <v>225</v>
      </c>
      <c r="B36" s="8">
        <v>46209</v>
      </c>
      <c r="C36" s="9" t="s">
        <v>34</v>
      </c>
      <c r="D36" s="9" t="s">
        <v>128</v>
      </c>
      <c r="E36" s="9" t="s">
        <v>664</v>
      </c>
      <c r="F36" s="9" t="s">
        <v>127</v>
      </c>
      <c r="G36" s="9" t="s">
        <v>228</v>
      </c>
      <c r="H36" s="8">
        <v>46209</v>
      </c>
      <c r="I36" s="9">
        <v>1</v>
      </c>
      <c r="J36" s="13" t="s">
        <v>228</v>
      </c>
      <c r="K36" s="13" t="s">
        <v>229</v>
      </c>
    </row>
    <row r="37" spans="1:11" ht="28" customHeight="1">
      <c r="A37" s="9" t="s">
        <v>230</v>
      </c>
      <c r="B37" s="8">
        <v>46209</v>
      </c>
      <c r="C37" s="9" t="s">
        <v>34</v>
      </c>
      <c r="D37" s="9" t="s">
        <v>128</v>
      </c>
      <c r="E37" s="9" t="s">
        <v>664</v>
      </c>
      <c r="F37" s="9" t="s">
        <v>127</v>
      </c>
      <c r="G37" s="9" t="s">
        <v>231</v>
      </c>
      <c r="H37" s="8">
        <v>46209</v>
      </c>
      <c r="I37" s="9">
        <v>1</v>
      </c>
      <c r="J37" s="13" t="s">
        <v>231</v>
      </c>
      <c r="K37" s="13" t="s">
        <v>232</v>
      </c>
    </row>
    <row r="38" spans="1:11" ht="28" customHeight="1">
      <c r="A38" s="9" t="s">
        <v>233</v>
      </c>
      <c r="B38" s="8">
        <v>46209</v>
      </c>
      <c r="C38" s="9" t="s">
        <v>34</v>
      </c>
      <c r="D38" s="9" t="s">
        <v>234</v>
      </c>
      <c r="E38" s="9" t="s">
        <v>682</v>
      </c>
      <c r="F38" s="9" t="s">
        <v>103</v>
      </c>
      <c r="G38" s="9" t="s">
        <v>235</v>
      </c>
      <c r="H38" s="9"/>
      <c r="I38" s="9">
        <v>1</v>
      </c>
      <c r="J38" s="13" t="s">
        <v>235</v>
      </c>
      <c r="K38" s="13" t="s">
        <v>236</v>
      </c>
    </row>
    <row r="39" spans="1:11" ht="28" customHeight="1">
      <c r="A39" s="9" t="s">
        <v>237</v>
      </c>
      <c r="B39" s="8">
        <v>46209</v>
      </c>
      <c r="C39" s="9" t="s">
        <v>137</v>
      </c>
      <c r="D39" s="9" t="s">
        <v>139</v>
      </c>
      <c r="E39" s="9" t="s">
        <v>658</v>
      </c>
      <c r="F39" s="9" t="s">
        <v>103</v>
      </c>
      <c r="G39" s="9" t="s">
        <v>238</v>
      </c>
      <c r="H39" s="9"/>
      <c r="I39" s="9">
        <v>2</v>
      </c>
      <c r="J39" s="13" t="s">
        <v>683</v>
      </c>
      <c r="K39" s="13" t="s">
        <v>239</v>
      </c>
    </row>
    <row r="40" spans="1:11" ht="28" customHeight="1">
      <c r="A40" s="9" t="s">
        <v>240</v>
      </c>
      <c r="B40" s="8">
        <v>46206</v>
      </c>
      <c r="C40" s="9" t="s">
        <v>34</v>
      </c>
      <c r="D40" s="9" t="s">
        <v>128</v>
      </c>
      <c r="E40" s="9" t="s">
        <v>664</v>
      </c>
      <c r="F40" s="9" t="s">
        <v>127</v>
      </c>
      <c r="G40" s="9" t="s">
        <v>241</v>
      </c>
      <c r="H40" s="8">
        <v>46206</v>
      </c>
      <c r="I40" s="9">
        <v>1</v>
      </c>
      <c r="J40" s="13" t="s">
        <v>241</v>
      </c>
      <c r="K40" s="13" t="s">
        <v>242</v>
      </c>
    </row>
    <row r="41" spans="1:11" ht="28" customHeight="1">
      <c r="A41" s="9" t="s">
        <v>243</v>
      </c>
      <c r="B41" s="8">
        <v>46206</v>
      </c>
      <c r="C41" s="9" t="s">
        <v>34</v>
      </c>
      <c r="D41" s="9" t="s">
        <v>128</v>
      </c>
      <c r="E41" s="9" t="s">
        <v>664</v>
      </c>
      <c r="F41" s="9" t="s">
        <v>127</v>
      </c>
      <c r="G41" s="9" t="s">
        <v>244</v>
      </c>
      <c r="H41" s="8">
        <v>46206</v>
      </c>
      <c r="I41" s="9">
        <v>1</v>
      </c>
      <c r="J41" s="13" t="s">
        <v>244</v>
      </c>
      <c r="K41" s="13" t="s">
        <v>245</v>
      </c>
    </row>
    <row r="42" spans="1:11" ht="28" customHeight="1">
      <c r="A42" s="9" t="s">
        <v>246</v>
      </c>
      <c r="B42" s="8">
        <v>46206</v>
      </c>
      <c r="C42" s="9" t="s">
        <v>34</v>
      </c>
      <c r="D42" s="9" t="s">
        <v>128</v>
      </c>
      <c r="E42" s="9" t="s">
        <v>664</v>
      </c>
      <c r="F42" s="9" t="s">
        <v>127</v>
      </c>
      <c r="G42" s="9" t="s">
        <v>247</v>
      </c>
      <c r="H42" s="8">
        <v>46206</v>
      </c>
      <c r="I42" s="9">
        <v>1</v>
      </c>
      <c r="J42" s="13" t="s">
        <v>247</v>
      </c>
      <c r="K42" s="13" t="s">
        <v>248</v>
      </c>
    </row>
    <row r="43" spans="1:11" ht="28" customHeight="1">
      <c r="A43" s="9" t="s">
        <v>249</v>
      </c>
      <c r="B43" s="8">
        <v>46206</v>
      </c>
      <c r="C43" s="9" t="s">
        <v>34</v>
      </c>
      <c r="D43" s="9" t="s">
        <v>250</v>
      </c>
      <c r="E43" s="9" t="s">
        <v>682</v>
      </c>
      <c r="F43" s="9" t="s">
        <v>103</v>
      </c>
      <c r="G43" s="9" t="s">
        <v>251</v>
      </c>
      <c r="H43" s="9"/>
      <c r="I43" s="9">
        <v>1</v>
      </c>
      <c r="J43" s="13" t="s">
        <v>251</v>
      </c>
      <c r="K43" s="13" t="s">
        <v>252</v>
      </c>
    </row>
    <row r="44" spans="1:11" ht="28" customHeight="1">
      <c r="A44" s="9" t="s">
        <v>249</v>
      </c>
      <c r="B44" s="8">
        <v>46206</v>
      </c>
      <c r="C44" s="9" t="s">
        <v>34</v>
      </c>
      <c r="D44" s="9" t="s">
        <v>324</v>
      </c>
      <c r="E44" s="9" t="s">
        <v>682</v>
      </c>
      <c r="F44" s="9" t="s">
        <v>103</v>
      </c>
      <c r="G44" s="9" t="s">
        <v>684</v>
      </c>
      <c r="H44" s="9"/>
      <c r="I44" s="9">
        <v>2</v>
      </c>
      <c r="J44" s="13" t="s">
        <v>685</v>
      </c>
      <c r="K44" s="13" t="s">
        <v>252</v>
      </c>
    </row>
    <row r="45" spans="1:11" ht="28" customHeight="1">
      <c r="A45" s="9" t="s">
        <v>249</v>
      </c>
      <c r="B45" s="8">
        <v>46206</v>
      </c>
      <c r="C45" s="9" t="s">
        <v>34</v>
      </c>
      <c r="D45" s="9" t="s">
        <v>686</v>
      </c>
      <c r="E45" s="9" t="s">
        <v>682</v>
      </c>
      <c r="F45" s="9" t="s">
        <v>103</v>
      </c>
      <c r="G45" s="9" t="s">
        <v>687</v>
      </c>
      <c r="H45" s="9"/>
      <c r="I45" s="9">
        <v>1</v>
      </c>
      <c r="J45" s="13" t="s">
        <v>687</v>
      </c>
      <c r="K45" s="13" t="s">
        <v>252</v>
      </c>
    </row>
    <row r="46" spans="1:11" ht="28" customHeight="1">
      <c r="A46" s="9" t="s">
        <v>249</v>
      </c>
      <c r="B46" s="8">
        <v>46206</v>
      </c>
      <c r="C46" s="9" t="s">
        <v>34</v>
      </c>
      <c r="D46" s="9" t="s">
        <v>688</v>
      </c>
      <c r="E46" s="9" t="s">
        <v>658</v>
      </c>
      <c r="F46" s="9" t="s">
        <v>103</v>
      </c>
      <c r="G46" s="9" t="s">
        <v>689</v>
      </c>
      <c r="H46" s="9"/>
      <c r="I46" s="9">
        <v>1</v>
      </c>
      <c r="J46" s="13" t="s">
        <v>689</v>
      </c>
      <c r="K46" s="13" t="s">
        <v>252</v>
      </c>
    </row>
    <row r="47" spans="1:11" ht="28" customHeight="1">
      <c r="A47" s="9" t="s">
        <v>253</v>
      </c>
      <c r="B47" s="8">
        <v>46205</v>
      </c>
      <c r="C47" s="9" t="s">
        <v>34</v>
      </c>
      <c r="D47" s="9" t="s">
        <v>128</v>
      </c>
      <c r="E47" s="9" t="s">
        <v>664</v>
      </c>
      <c r="F47" s="9" t="s">
        <v>127</v>
      </c>
      <c r="G47" s="9" t="s">
        <v>255</v>
      </c>
      <c r="H47" s="8">
        <v>46205</v>
      </c>
      <c r="I47" s="9">
        <v>1</v>
      </c>
      <c r="J47" s="13" t="s">
        <v>255</v>
      </c>
      <c r="K47" s="13" t="s">
        <v>256</v>
      </c>
    </row>
    <row r="48" spans="1:11" ht="28" customHeight="1">
      <c r="A48" s="9" t="s">
        <v>257</v>
      </c>
      <c r="B48" s="8">
        <v>46205</v>
      </c>
      <c r="C48" s="9" t="s">
        <v>34</v>
      </c>
      <c r="D48" s="9" t="s">
        <v>128</v>
      </c>
      <c r="E48" s="9" t="s">
        <v>664</v>
      </c>
      <c r="F48" s="9" t="s">
        <v>127</v>
      </c>
      <c r="G48" s="9" t="s">
        <v>259</v>
      </c>
      <c r="H48" s="8">
        <v>46205</v>
      </c>
      <c r="I48" s="9">
        <v>1</v>
      </c>
      <c r="J48" s="13" t="s">
        <v>259</v>
      </c>
      <c r="K48" s="13" t="s">
        <v>260</v>
      </c>
    </row>
    <row r="49" spans="1:11" ht="28" customHeight="1">
      <c r="A49" s="9" t="s">
        <v>261</v>
      </c>
      <c r="B49" s="8">
        <v>46205</v>
      </c>
      <c r="C49" s="9" t="s">
        <v>34</v>
      </c>
      <c r="D49" s="9" t="s">
        <v>128</v>
      </c>
      <c r="E49" s="9" t="s">
        <v>664</v>
      </c>
      <c r="F49" s="9" t="s">
        <v>127</v>
      </c>
      <c r="G49" s="9" t="s">
        <v>263</v>
      </c>
      <c r="H49" s="8">
        <v>46205</v>
      </c>
      <c r="I49" s="9">
        <v>1</v>
      </c>
      <c r="J49" s="13" t="s">
        <v>263</v>
      </c>
      <c r="K49" s="13" t="s">
        <v>264</v>
      </c>
    </row>
    <row r="50" spans="1:11" ht="28" customHeight="1">
      <c r="A50" s="9" t="s">
        <v>265</v>
      </c>
      <c r="B50" s="8">
        <v>46205</v>
      </c>
      <c r="C50" s="9" t="s">
        <v>34</v>
      </c>
      <c r="D50" s="9" t="s">
        <v>128</v>
      </c>
      <c r="E50" s="9" t="s">
        <v>664</v>
      </c>
      <c r="F50" s="9" t="s">
        <v>127</v>
      </c>
      <c r="G50" s="9" t="s">
        <v>266</v>
      </c>
      <c r="H50" s="8">
        <v>46205</v>
      </c>
      <c r="I50" s="9">
        <v>1</v>
      </c>
      <c r="J50" s="13" t="s">
        <v>266</v>
      </c>
      <c r="K50" s="13" t="s">
        <v>267</v>
      </c>
    </row>
    <row r="51" spans="1:11" ht="28" customHeight="1">
      <c r="A51" s="9" t="s">
        <v>268</v>
      </c>
      <c r="B51" s="8">
        <v>46205</v>
      </c>
      <c r="C51" s="9" t="s">
        <v>34</v>
      </c>
      <c r="D51" s="9" t="s">
        <v>128</v>
      </c>
      <c r="E51" s="9" t="s">
        <v>664</v>
      </c>
      <c r="F51" s="9" t="s">
        <v>127</v>
      </c>
      <c r="G51" s="9" t="s">
        <v>269</v>
      </c>
      <c r="H51" s="8">
        <v>46205</v>
      </c>
      <c r="I51" s="9">
        <v>1</v>
      </c>
      <c r="J51" s="13" t="s">
        <v>269</v>
      </c>
      <c r="K51" s="13" t="s">
        <v>270</v>
      </c>
    </row>
    <row r="52" spans="1:11" ht="28" customHeight="1">
      <c r="A52" s="9" t="s">
        <v>271</v>
      </c>
      <c r="B52" s="8">
        <v>46204</v>
      </c>
      <c r="C52" s="9" t="s">
        <v>272</v>
      </c>
      <c r="D52" s="9" t="s">
        <v>128</v>
      </c>
      <c r="E52" s="9" t="s">
        <v>664</v>
      </c>
      <c r="F52" s="9" t="s">
        <v>127</v>
      </c>
      <c r="G52" s="9" t="s">
        <v>274</v>
      </c>
      <c r="H52" s="8">
        <v>46204</v>
      </c>
      <c r="I52" s="9">
        <v>1</v>
      </c>
      <c r="J52" s="13" t="s">
        <v>274</v>
      </c>
      <c r="K52" s="13" t="s">
        <v>275</v>
      </c>
    </row>
    <row r="53" spans="1:11" ht="28" customHeight="1">
      <c r="A53" s="9" t="s">
        <v>276</v>
      </c>
      <c r="B53" s="8">
        <v>46204</v>
      </c>
      <c r="C53" s="9" t="s">
        <v>34</v>
      </c>
      <c r="D53" s="9" t="s">
        <v>128</v>
      </c>
      <c r="E53" s="9" t="s">
        <v>664</v>
      </c>
      <c r="F53" s="9" t="s">
        <v>127</v>
      </c>
      <c r="G53" s="9" t="s">
        <v>278</v>
      </c>
      <c r="H53" s="8">
        <v>46204</v>
      </c>
      <c r="I53" s="9">
        <v>1</v>
      </c>
      <c r="J53" s="13" t="s">
        <v>278</v>
      </c>
      <c r="K53" s="13" t="s">
        <v>260</v>
      </c>
    </row>
    <row r="54" spans="1:11" ht="28" customHeight="1">
      <c r="A54" s="9" t="s">
        <v>279</v>
      </c>
      <c r="B54" s="8">
        <v>46204</v>
      </c>
      <c r="C54" s="9" t="s">
        <v>34</v>
      </c>
      <c r="D54" s="9" t="s">
        <v>128</v>
      </c>
      <c r="E54" s="9" t="s">
        <v>664</v>
      </c>
      <c r="F54" s="9" t="s">
        <v>127</v>
      </c>
      <c r="G54" s="9" t="s">
        <v>281</v>
      </c>
      <c r="H54" s="8">
        <v>46204</v>
      </c>
      <c r="I54" s="9">
        <v>1</v>
      </c>
      <c r="J54" s="13" t="s">
        <v>281</v>
      </c>
      <c r="K54" s="13" t="s">
        <v>282</v>
      </c>
    </row>
    <row r="55" spans="1:11" ht="28" customHeight="1">
      <c r="A55" s="9" t="s">
        <v>283</v>
      </c>
      <c r="B55" s="8">
        <v>46204</v>
      </c>
      <c r="C55" s="9" t="s">
        <v>34</v>
      </c>
      <c r="D55" s="9" t="s">
        <v>128</v>
      </c>
      <c r="E55" s="9" t="s">
        <v>664</v>
      </c>
      <c r="F55" s="9" t="s">
        <v>127</v>
      </c>
      <c r="G55" s="9" t="s">
        <v>284</v>
      </c>
      <c r="H55" s="8">
        <v>46204</v>
      </c>
      <c r="I55" s="9">
        <v>1</v>
      </c>
      <c r="J55" s="13" t="s">
        <v>284</v>
      </c>
      <c r="K55" s="13" t="s">
        <v>270</v>
      </c>
    </row>
    <row r="56" spans="1:11" ht="28" customHeight="1">
      <c r="A56" s="9" t="s">
        <v>285</v>
      </c>
      <c r="B56" s="8">
        <v>46204</v>
      </c>
      <c r="C56" s="9" t="s">
        <v>34</v>
      </c>
      <c r="D56" s="9" t="s">
        <v>128</v>
      </c>
      <c r="E56" s="9" t="s">
        <v>664</v>
      </c>
      <c r="F56" s="9" t="s">
        <v>127</v>
      </c>
      <c r="G56" s="9" t="s">
        <v>288</v>
      </c>
      <c r="H56" s="8">
        <v>46204</v>
      </c>
      <c r="I56" s="9">
        <v>1</v>
      </c>
      <c r="J56" s="13" t="s">
        <v>288</v>
      </c>
      <c r="K56" s="13" t="s">
        <v>289</v>
      </c>
    </row>
    <row r="57" spans="1:11" ht="28" customHeight="1">
      <c r="A57" s="9" t="s">
        <v>290</v>
      </c>
      <c r="B57" s="8">
        <v>46204</v>
      </c>
      <c r="C57" s="9" t="s">
        <v>34</v>
      </c>
      <c r="D57" s="9" t="s">
        <v>128</v>
      </c>
      <c r="E57" s="9" t="s">
        <v>664</v>
      </c>
      <c r="F57" s="9" t="s">
        <v>127</v>
      </c>
      <c r="G57" s="9" t="s">
        <v>293</v>
      </c>
      <c r="H57" s="8">
        <v>46204</v>
      </c>
      <c r="I57" s="9">
        <v>1</v>
      </c>
      <c r="J57" s="13" t="s">
        <v>293</v>
      </c>
      <c r="K57" s="13" t="s">
        <v>294</v>
      </c>
    </row>
    <row r="58" spans="1:11" ht="28" customHeight="1">
      <c r="A58" s="9" t="s">
        <v>295</v>
      </c>
      <c r="B58" s="8">
        <v>46204</v>
      </c>
      <c r="C58" s="9" t="s">
        <v>34</v>
      </c>
      <c r="D58" s="9" t="s">
        <v>156</v>
      </c>
      <c r="E58" s="9" t="s">
        <v>682</v>
      </c>
      <c r="F58" s="9" t="s">
        <v>103</v>
      </c>
      <c r="G58" s="9" t="s">
        <v>296</v>
      </c>
      <c r="H58" s="9"/>
      <c r="I58" s="9">
        <v>1</v>
      </c>
      <c r="J58" s="13" t="s">
        <v>296</v>
      </c>
      <c r="K58" s="13" t="s">
        <v>297</v>
      </c>
    </row>
    <row r="59" spans="1:11" ht="28" customHeight="1">
      <c r="A59" s="9" t="s">
        <v>295</v>
      </c>
      <c r="B59" s="8">
        <v>46204</v>
      </c>
      <c r="C59" s="9" t="s">
        <v>34</v>
      </c>
      <c r="D59" s="9" t="s">
        <v>104</v>
      </c>
      <c r="E59" s="9" t="s">
        <v>682</v>
      </c>
      <c r="F59" s="9" t="s">
        <v>103</v>
      </c>
      <c r="G59" s="9" t="s">
        <v>690</v>
      </c>
      <c r="H59" s="9"/>
      <c r="I59" s="9">
        <v>1</v>
      </c>
      <c r="J59" s="13" t="s">
        <v>690</v>
      </c>
      <c r="K59" s="13" t="s">
        <v>297</v>
      </c>
    </row>
    <row r="60" spans="1:11" ht="28" customHeight="1">
      <c r="A60" s="9" t="s">
        <v>295</v>
      </c>
      <c r="B60" s="8">
        <v>46204</v>
      </c>
      <c r="C60" s="9" t="s">
        <v>34</v>
      </c>
      <c r="D60" s="9" t="s">
        <v>104</v>
      </c>
      <c r="E60" s="9" t="s">
        <v>658</v>
      </c>
      <c r="F60" s="9" t="s">
        <v>103</v>
      </c>
      <c r="G60" s="9" t="s">
        <v>691</v>
      </c>
      <c r="H60" s="9"/>
      <c r="I60" s="9">
        <v>1</v>
      </c>
      <c r="J60" s="13" t="s">
        <v>691</v>
      </c>
      <c r="K60" s="13" t="s">
        <v>297</v>
      </c>
    </row>
    <row r="61" spans="1:11" ht="28" customHeight="1">
      <c r="A61" s="9" t="s">
        <v>295</v>
      </c>
      <c r="B61" s="8">
        <v>46204</v>
      </c>
      <c r="C61" s="9" t="s">
        <v>34</v>
      </c>
      <c r="D61" s="9" t="s">
        <v>104</v>
      </c>
      <c r="E61" s="9" t="s">
        <v>658</v>
      </c>
      <c r="F61" s="9" t="s">
        <v>103</v>
      </c>
      <c r="G61" s="9" t="s">
        <v>692</v>
      </c>
      <c r="H61" s="9"/>
      <c r="I61" s="9">
        <v>1</v>
      </c>
      <c r="J61" s="13" t="s">
        <v>692</v>
      </c>
      <c r="K61" s="13" t="s">
        <v>297</v>
      </c>
    </row>
    <row r="62" spans="1:11" ht="28" customHeight="1">
      <c r="A62" s="9" t="s">
        <v>298</v>
      </c>
      <c r="B62" s="8">
        <v>46204</v>
      </c>
      <c r="C62" s="9" t="s">
        <v>34</v>
      </c>
      <c r="D62" s="9" t="s">
        <v>299</v>
      </c>
      <c r="E62" s="9" t="s">
        <v>660</v>
      </c>
      <c r="F62" s="9" t="s">
        <v>103</v>
      </c>
      <c r="G62" s="9" t="s">
        <v>300</v>
      </c>
      <c r="H62" s="8">
        <v>46204</v>
      </c>
      <c r="I62" s="9">
        <v>2</v>
      </c>
      <c r="J62" s="13" t="s">
        <v>693</v>
      </c>
      <c r="K62" s="13" t="s">
        <v>301</v>
      </c>
    </row>
    <row r="63" spans="1:11" ht="28" customHeight="1">
      <c r="A63" s="9" t="s">
        <v>302</v>
      </c>
      <c r="B63" s="8">
        <v>46203</v>
      </c>
      <c r="C63" s="9" t="s">
        <v>34</v>
      </c>
      <c r="D63" s="9" t="s">
        <v>128</v>
      </c>
      <c r="E63" s="9" t="s">
        <v>664</v>
      </c>
      <c r="F63" s="9" t="s">
        <v>127</v>
      </c>
      <c r="G63" s="9" t="s">
        <v>303</v>
      </c>
      <c r="H63" s="8">
        <v>46203</v>
      </c>
      <c r="I63" s="9">
        <v>1</v>
      </c>
      <c r="J63" s="13" t="s">
        <v>303</v>
      </c>
      <c r="K63" s="13" t="s">
        <v>304</v>
      </c>
    </row>
    <row r="64" spans="1:11" ht="28" customHeight="1">
      <c r="A64" s="9" t="s">
        <v>305</v>
      </c>
      <c r="B64" s="8">
        <v>46203</v>
      </c>
      <c r="C64" s="9" t="s">
        <v>34</v>
      </c>
      <c r="D64" s="9" t="s">
        <v>128</v>
      </c>
      <c r="E64" s="9" t="s">
        <v>664</v>
      </c>
      <c r="F64" s="9" t="s">
        <v>127</v>
      </c>
      <c r="G64" s="9" t="s">
        <v>308</v>
      </c>
      <c r="H64" s="8">
        <v>46203</v>
      </c>
      <c r="I64" s="9">
        <v>1</v>
      </c>
      <c r="J64" s="13" t="s">
        <v>308</v>
      </c>
      <c r="K64" s="13" t="s">
        <v>309</v>
      </c>
    </row>
    <row r="65" spans="1:11" ht="28" customHeight="1">
      <c r="A65" s="9" t="s">
        <v>310</v>
      </c>
      <c r="B65" s="8">
        <v>46203</v>
      </c>
      <c r="C65" s="9" t="s">
        <v>34</v>
      </c>
      <c r="D65" s="9" t="s">
        <v>128</v>
      </c>
      <c r="E65" s="9" t="s">
        <v>664</v>
      </c>
      <c r="F65" s="9" t="s">
        <v>127</v>
      </c>
      <c r="G65" s="9" t="s">
        <v>313</v>
      </c>
      <c r="H65" s="8">
        <v>46203</v>
      </c>
      <c r="I65" s="9">
        <v>1</v>
      </c>
      <c r="J65" s="13" t="s">
        <v>313</v>
      </c>
      <c r="K65" s="13" t="s">
        <v>314</v>
      </c>
    </row>
    <row r="66" spans="1:11" ht="28" customHeight="1">
      <c r="A66" s="9" t="s">
        <v>315</v>
      </c>
      <c r="B66" s="8">
        <v>46203</v>
      </c>
      <c r="C66" s="9" t="s">
        <v>34</v>
      </c>
      <c r="D66" s="9" t="s">
        <v>128</v>
      </c>
      <c r="E66" s="9" t="s">
        <v>664</v>
      </c>
      <c r="F66" s="9" t="s">
        <v>127</v>
      </c>
      <c r="G66" s="9" t="s">
        <v>317</v>
      </c>
      <c r="H66" s="8">
        <v>46203</v>
      </c>
      <c r="I66" s="9">
        <v>1</v>
      </c>
      <c r="J66" s="13" t="s">
        <v>317</v>
      </c>
      <c r="K66" s="13" t="s">
        <v>260</v>
      </c>
    </row>
    <row r="67" spans="1:11" ht="28" customHeight="1">
      <c r="A67" s="9" t="s">
        <v>318</v>
      </c>
      <c r="B67" s="8">
        <v>46203</v>
      </c>
      <c r="C67" s="9" t="s">
        <v>48</v>
      </c>
      <c r="D67" s="9" t="s">
        <v>319</v>
      </c>
      <c r="E67" s="9" t="s">
        <v>694</v>
      </c>
      <c r="F67" s="9" t="s">
        <v>103</v>
      </c>
      <c r="G67" s="9" t="s">
        <v>320</v>
      </c>
      <c r="H67" s="9"/>
      <c r="I67" s="9">
        <v>1</v>
      </c>
      <c r="J67" s="13" t="s">
        <v>320</v>
      </c>
      <c r="K67" s="13" t="s">
        <v>321</v>
      </c>
    </row>
    <row r="68" spans="1:11" ht="28" customHeight="1">
      <c r="A68" s="9" t="s">
        <v>322</v>
      </c>
      <c r="B68" s="8">
        <v>46203</v>
      </c>
      <c r="C68" s="9" t="s">
        <v>323</v>
      </c>
      <c r="D68" s="9" t="s">
        <v>324</v>
      </c>
      <c r="E68" s="9" t="s">
        <v>660</v>
      </c>
      <c r="F68" s="9" t="s">
        <v>103</v>
      </c>
      <c r="G68" s="9" t="s">
        <v>325</v>
      </c>
      <c r="H68" s="8">
        <v>46203</v>
      </c>
      <c r="I68" s="9">
        <v>2</v>
      </c>
      <c r="J68" s="13" t="s">
        <v>695</v>
      </c>
      <c r="K68" s="13" t="s">
        <v>326</v>
      </c>
    </row>
    <row r="69" spans="1:11" ht="28" customHeight="1">
      <c r="A69" s="9" t="s">
        <v>327</v>
      </c>
      <c r="B69" s="8">
        <v>46202</v>
      </c>
      <c r="C69" s="9" t="s">
        <v>34</v>
      </c>
      <c r="D69" s="9" t="s">
        <v>128</v>
      </c>
      <c r="E69" s="9" t="s">
        <v>664</v>
      </c>
      <c r="F69" s="9" t="s">
        <v>127</v>
      </c>
      <c r="G69" s="9" t="s">
        <v>328</v>
      </c>
      <c r="H69" s="8">
        <v>46202</v>
      </c>
      <c r="I69" s="9">
        <v>1</v>
      </c>
      <c r="J69" s="13" t="s">
        <v>328</v>
      </c>
      <c r="K69" s="13" t="s">
        <v>260</v>
      </c>
    </row>
    <row r="70" spans="1:11" ht="28" customHeight="1">
      <c r="A70" s="9" t="s">
        <v>329</v>
      </c>
      <c r="B70" s="8">
        <v>46202</v>
      </c>
      <c r="C70" s="9" t="s">
        <v>34</v>
      </c>
      <c r="D70" s="9" t="s">
        <v>128</v>
      </c>
      <c r="E70" s="9" t="s">
        <v>664</v>
      </c>
      <c r="F70" s="9" t="s">
        <v>127</v>
      </c>
      <c r="G70" s="9" t="s">
        <v>331</v>
      </c>
      <c r="H70" s="8">
        <v>46202</v>
      </c>
      <c r="I70" s="9">
        <v>1</v>
      </c>
      <c r="J70" s="13" t="s">
        <v>331</v>
      </c>
      <c r="K70" s="13" t="s">
        <v>282</v>
      </c>
    </row>
    <row r="71" spans="1:11" ht="28" customHeight="1">
      <c r="A71" s="9" t="s">
        <v>332</v>
      </c>
      <c r="B71" s="8">
        <v>46202</v>
      </c>
      <c r="C71" s="9" t="s">
        <v>34</v>
      </c>
      <c r="D71" s="9" t="s">
        <v>128</v>
      </c>
      <c r="E71" s="9" t="s">
        <v>664</v>
      </c>
      <c r="F71" s="9" t="s">
        <v>127</v>
      </c>
      <c r="G71" s="9" t="s">
        <v>334</v>
      </c>
      <c r="H71" s="8">
        <v>46202</v>
      </c>
      <c r="I71" s="9">
        <v>1</v>
      </c>
      <c r="J71" s="13" t="s">
        <v>334</v>
      </c>
      <c r="K71" s="13" t="s">
        <v>289</v>
      </c>
    </row>
    <row r="72" spans="1:11" ht="28" customHeight="1">
      <c r="A72" s="9" t="s">
        <v>335</v>
      </c>
      <c r="B72" s="8">
        <v>46202</v>
      </c>
      <c r="C72" s="9" t="s">
        <v>336</v>
      </c>
      <c r="D72" s="9" t="s">
        <v>128</v>
      </c>
      <c r="E72" s="9" t="s">
        <v>664</v>
      </c>
      <c r="F72" s="9" t="s">
        <v>127</v>
      </c>
      <c r="G72" s="9" t="s">
        <v>339</v>
      </c>
      <c r="H72" s="8">
        <v>46202</v>
      </c>
      <c r="I72" s="9">
        <v>1</v>
      </c>
      <c r="J72" s="13" t="s">
        <v>339</v>
      </c>
      <c r="K72" s="13" t="s">
        <v>340</v>
      </c>
    </row>
    <row r="73" spans="1:11" ht="28" customHeight="1">
      <c r="A73" s="9" t="s">
        <v>341</v>
      </c>
      <c r="B73" s="8">
        <v>46202</v>
      </c>
      <c r="C73" s="9" t="s">
        <v>342</v>
      </c>
      <c r="D73" s="9" t="s">
        <v>128</v>
      </c>
      <c r="E73" s="9" t="s">
        <v>664</v>
      </c>
      <c r="F73" s="9" t="s">
        <v>127</v>
      </c>
      <c r="G73" s="9" t="s">
        <v>344</v>
      </c>
      <c r="H73" s="8">
        <v>46202</v>
      </c>
      <c r="I73" s="9">
        <v>1</v>
      </c>
      <c r="J73" s="13" t="s">
        <v>344</v>
      </c>
      <c r="K73" s="13" t="s">
        <v>345</v>
      </c>
    </row>
    <row r="74" spans="1:11" ht="28" customHeight="1">
      <c r="A74" s="9" t="s">
        <v>346</v>
      </c>
      <c r="B74" s="8">
        <v>46202</v>
      </c>
      <c r="C74" s="9" t="s">
        <v>347</v>
      </c>
      <c r="D74" s="9" t="s">
        <v>201</v>
      </c>
      <c r="E74" s="9" t="s">
        <v>660</v>
      </c>
      <c r="F74" s="9" t="s">
        <v>103</v>
      </c>
      <c r="G74" s="9" t="s">
        <v>348</v>
      </c>
      <c r="H74" s="8">
        <v>46202</v>
      </c>
      <c r="I74" s="9">
        <v>2</v>
      </c>
      <c r="J74" s="13" t="s">
        <v>696</v>
      </c>
      <c r="K74" s="13" t="s">
        <v>349</v>
      </c>
    </row>
    <row r="75" spans="1:11" ht="28" customHeight="1">
      <c r="A75" s="9" t="s">
        <v>350</v>
      </c>
      <c r="B75" s="8">
        <v>46202</v>
      </c>
      <c r="C75" s="9" t="s">
        <v>143</v>
      </c>
      <c r="D75" s="9" t="s">
        <v>299</v>
      </c>
      <c r="E75" s="9" t="s">
        <v>660</v>
      </c>
      <c r="F75" s="9" t="s">
        <v>103</v>
      </c>
      <c r="G75" s="9" t="s">
        <v>351</v>
      </c>
      <c r="H75" s="8">
        <v>46202</v>
      </c>
      <c r="I75" s="9">
        <v>2</v>
      </c>
      <c r="J75" s="13" t="s">
        <v>697</v>
      </c>
      <c r="K75" s="13" t="s">
        <v>352</v>
      </c>
    </row>
    <row r="76" spans="1:11" ht="28" customHeight="1">
      <c r="A76" s="9" t="s">
        <v>353</v>
      </c>
      <c r="B76" s="8">
        <v>46201</v>
      </c>
      <c r="C76" s="9" t="s">
        <v>44</v>
      </c>
      <c r="D76" s="9" t="s">
        <v>354</v>
      </c>
      <c r="E76" s="9" t="s">
        <v>660</v>
      </c>
      <c r="F76" s="9" t="s">
        <v>127</v>
      </c>
      <c r="G76" s="9" t="s">
        <v>355</v>
      </c>
      <c r="H76" s="8">
        <v>46201</v>
      </c>
      <c r="I76" s="9">
        <v>1</v>
      </c>
      <c r="J76" s="13" t="s">
        <v>355</v>
      </c>
      <c r="K76" s="13" t="s">
        <v>45</v>
      </c>
    </row>
    <row r="77" spans="1:11" ht="28" customHeight="1">
      <c r="A77" s="9" t="s">
        <v>356</v>
      </c>
      <c r="B77" s="8">
        <v>46201</v>
      </c>
      <c r="C77" s="9" t="s">
        <v>137</v>
      </c>
      <c r="D77" s="9" t="s">
        <v>201</v>
      </c>
      <c r="E77" s="9" t="s">
        <v>660</v>
      </c>
      <c r="F77" s="9" t="s">
        <v>103</v>
      </c>
      <c r="G77" s="9" t="s">
        <v>357</v>
      </c>
      <c r="H77" s="8">
        <v>46201</v>
      </c>
      <c r="I77" s="9">
        <v>2</v>
      </c>
      <c r="J77" s="13" t="s">
        <v>698</v>
      </c>
      <c r="K77" s="13" t="s">
        <v>358</v>
      </c>
    </row>
    <row r="78" spans="1:11" ht="28" customHeight="1">
      <c r="A78" s="9" t="s">
        <v>359</v>
      </c>
      <c r="B78" s="8">
        <v>46200</v>
      </c>
      <c r="C78" s="9" t="s">
        <v>34</v>
      </c>
      <c r="D78" s="9" t="s">
        <v>361</v>
      </c>
      <c r="E78" s="9" t="s">
        <v>660</v>
      </c>
      <c r="F78" s="9" t="s">
        <v>103</v>
      </c>
      <c r="G78" s="9" t="s">
        <v>362</v>
      </c>
      <c r="H78" s="8">
        <v>46200</v>
      </c>
      <c r="I78" s="9">
        <v>1</v>
      </c>
      <c r="J78" s="13" t="s">
        <v>362</v>
      </c>
      <c r="K78" s="13" t="s">
        <v>363</v>
      </c>
    </row>
    <row r="79" spans="1:11" ht="28" customHeight="1">
      <c r="A79" s="9" t="s">
        <v>364</v>
      </c>
      <c r="B79" s="8">
        <v>46199</v>
      </c>
      <c r="C79" s="9" t="s">
        <v>34</v>
      </c>
      <c r="D79" s="9" t="s">
        <v>128</v>
      </c>
      <c r="E79" s="9" t="s">
        <v>660</v>
      </c>
      <c r="F79" s="9" t="s">
        <v>127</v>
      </c>
      <c r="G79" s="9" t="s">
        <v>365</v>
      </c>
      <c r="H79" s="8">
        <v>46199</v>
      </c>
      <c r="I79" s="9">
        <v>1</v>
      </c>
      <c r="J79" s="13" t="s">
        <v>365</v>
      </c>
      <c r="K79" s="13" t="s">
        <v>366</v>
      </c>
    </row>
    <row r="80" spans="1:11" ht="28" customHeight="1">
      <c r="A80" s="9" t="s">
        <v>367</v>
      </c>
      <c r="B80" s="8">
        <v>46199</v>
      </c>
      <c r="C80" s="9" t="s">
        <v>34</v>
      </c>
      <c r="D80" s="9" t="s">
        <v>128</v>
      </c>
      <c r="E80" s="9" t="s">
        <v>664</v>
      </c>
      <c r="F80" s="9" t="s">
        <v>127</v>
      </c>
      <c r="G80" s="9" t="s">
        <v>368</v>
      </c>
      <c r="H80" s="8">
        <v>46199</v>
      </c>
      <c r="I80" s="9">
        <v>1</v>
      </c>
      <c r="J80" s="13" t="s">
        <v>368</v>
      </c>
      <c r="K80" s="13" t="s">
        <v>282</v>
      </c>
    </row>
    <row r="81" spans="1:11" ht="28" customHeight="1">
      <c r="A81" s="9" t="s">
        <v>369</v>
      </c>
      <c r="B81" s="8">
        <v>46199</v>
      </c>
      <c r="C81" s="9" t="s">
        <v>34</v>
      </c>
      <c r="D81" s="9" t="s">
        <v>128</v>
      </c>
      <c r="E81" s="9" t="s">
        <v>660</v>
      </c>
      <c r="F81" s="9" t="s">
        <v>127</v>
      </c>
      <c r="G81" s="9" t="s">
        <v>370</v>
      </c>
      <c r="H81" s="8">
        <v>46199</v>
      </c>
      <c r="I81" s="9">
        <v>1</v>
      </c>
      <c r="J81" s="13" t="s">
        <v>370</v>
      </c>
      <c r="K81" s="13" t="s">
        <v>270</v>
      </c>
    </row>
    <row r="82" spans="1:11" ht="28" customHeight="1">
      <c r="A82" s="9" t="s">
        <v>371</v>
      </c>
      <c r="B82" s="8">
        <v>46199</v>
      </c>
      <c r="C82" s="9" t="s">
        <v>34</v>
      </c>
      <c r="D82" s="9" t="s">
        <v>128</v>
      </c>
      <c r="E82" s="9" t="s">
        <v>660</v>
      </c>
      <c r="F82" s="9" t="s">
        <v>127</v>
      </c>
      <c r="G82" s="9" t="s">
        <v>372</v>
      </c>
      <c r="H82" s="8">
        <v>46199</v>
      </c>
      <c r="I82" s="9">
        <v>1</v>
      </c>
      <c r="J82" s="13" t="s">
        <v>372</v>
      </c>
      <c r="K82" s="13" t="s">
        <v>373</v>
      </c>
    </row>
    <row r="83" spans="1:11" ht="28" customHeight="1">
      <c r="A83" s="9" t="s">
        <v>374</v>
      </c>
      <c r="B83" s="8">
        <v>46199</v>
      </c>
      <c r="C83" s="9" t="s">
        <v>34</v>
      </c>
      <c r="D83" s="9" t="s">
        <v>128</v>
      </c>
      <c r="E83" s="9" t="s">
        <v>660</v>
      </c>
      <c r="F83" s="9" t="s">
        <v>127</v>
      </c>
      <c r="G83" s="9" t="s">
        <v>375</v>
      </c>
      <c r="H83" s="8">
        <v>46199</v>
      </c>
      <c r="I83" s="9">
        <v>1</v>
      </c>
      <c r="J83" s="13" t="s">
        <v>375</v>
      </c>
      <c r="K83" s="13" t="s">
        <v>376</v>
      </c>
    </row>
    <row r="84" spans="1:11" ht="28" customHeight="1">
      <c r="A84" s="9" t="s">
        <v>377</v>
      </c>
      <c r="B84" s="8">
        <v>46199</v>
      </c>
      <c r="C84" s="9" t="s">
        <v>34</v>
      </c>
      <c r="D84" s="9" t="s">
        <v>128</v>
      </c>
      <c r="E84" s="9" t="s">
        <v>660</v>
      </c>
      <c r="F84" s="9" t="s">
        <v>127</v>
      </c>
      <c r="G84" s="9" t="s">
        <v>378</v>
      </c>
      <c r="H84" s="8">
        <v>46199</v>
      </c>
      <c r="I84" s="9">
        <v>1</v>
      </c>
      <c r="J84" s="13" t="s">
        <v>378</v>
      </c>
      <c r="K84" s="13" t="s">
        <v>379</v>
      </c>
    </row>
    <row r="85" spans="1:11" ht="28" customHeight="1">
      <c r="A85" s="9" t="s">
        <v>380</v>
      </c>
      <c r="B85" s="8">
        <v>46199</v>
      </c>
      <c r="C85" s="9" t="s">
        <v>34</v>
      </c>
      <c r="D85" s="9" t="s">
        <v>128</v>
      </c>
      <c r="E85" s="9" t="s">
        <v>660</v>
      </c>
      <c r="F85" s="9" t="s">
        <v>127</v>
      </c>
      <c r="G85" s="9" t="s">
        <v>381</v>
      </c>
      <c r="H85" s="8">
        <v>46199</v>
      </c>
      <c r="I85" s="9">
        <v>1</v>
      </c>
      <c r="J85" s="13" t="s">
        <v>381</v>
      </c>
      <c r="K85" s="13" t="s">
        <v>382</v>
      </c>
    </row>
    <row r="86" spans="1:11" ht="28" customHeight="1">
      <c r="A86" s="9" t="s">
        <v>383</v>
      </c>
      <c r="B86" s="8">
        <v>46197</v>
      </c>
      <c r="C86" s="9" t="s">
        <v>384</v>
      </c>
      <c r="D86" s="9" t="s">
        <v>386</v>
      </c>
      <c r="E86" s="9" t="s">
        <v>660</v>
      </c>
      <c r="F86" s="9" t="s">
        <v>103</v>
      </c>
      <c r="G86" s="9" t="s">
        <v>387</v>
      </c>
      <c r="H86" s="8">
        <v>46197</v>
      </c>
      <c r="I86" s="9">
        <v>1</v>
      </c>
      <c r="J86" s="13" t="s">
        <v>387</v>
      </c>
      <c r="K86" s="13" t="s">
        <v>388</v>
      </c>
    </row>
    <row r="87" spans="1:11" ht="28" customHeight="1">
      <c r="A87" s="9" t="s">
        <v>389</v>
      </c>
      <c r="B87" s="8">
        <v>46196</v>
      </c>
      <c r="C87" s="9" t="s">
        <v>46</v>
      </c>
      <c r="D87" s="9" t="s">
        <v>390</v>
      </c>
      <c r="E87" s="9" t="s">
        <v>674</v>
      </c>
      <c r="F87" s="9" t="s">
        <v>127</v>
      </c>
      <c r="G87" s="9" t="s">
        <v>391</v>
      </c>
      <c r="H87" s="8">
        <v>46196</v>
      </c>
      <c r="I87" s="9">
        <v>1</v>
      </c>
      <c r="J87" s="13" t="s">
        <v>391</v>
      </c>
      <c r="K87" s="13" t="s">
        <v>47</v>
      </c>
    </row>
    <row r="88" spans="1:11" ht="28" customHeight="1">
      <c r="A88" s="9" t="s">
        <v>392</v>
      </c>
      <c r="B88" s="8">
        <v>46192</v>
      </c>
      <c r="C88" s="9" t="s">
        <v>48</v>
      </c>
      <c r="D88" s="9" t="s">
        <v>394</v>
      </c>
      <c r="E88" s="9" t="s">
        <v>674</v>
      </c>
      <c r="F88" s="9" t="s">
        <v>127</v>
      </c>
      <c r="G88" s="9" t="s">
        <v>395</v>
      </c>
      <c r="H88" s="8">
        <v>46192</v>
      </c>
      <c r="I88" s="9">
        <v>1</v>
      </c>
      <c r="J88" s="13" t="s">
        <v>395</v>
      </c>
      <c r="K88" s="13" t="s">
        <v>49</v>
      </c>
    </row>
    <row r="89" spans="1:11" ht="28" customHeight="1">
      <c r="A89" s="9" t="s">
        <v>392</v>
      </c>
      <c r="B89" s="8">
        <v>46192</v>
      </c>
      <c r="C89" s="9" t="s">
        <v>48</v>
      </c>
      <c r="D89" s="9" t="s">
        <v>299</v>
      </c>
      <c r="E89" s="9" t="s">
        <v>660</v>
      </c>
      <c r="F89" s="9" t="s">
        <v>103</v>
      </c>
      <c r="G89" s="9" t="s">
        <v>699</v>
      </c>
      <c r="H89" s="8">
        <v>46181</v>
      </c>
      <c r="I89" s="9">
        <v>2</v>
      </c>
      <c r="J89" s="13" t="s">
        <v>700</v>
      </c>
      <c r="K89" s="13" t="s">
        <v>49</v>
      </c>
    </row>
    <row r="90" spans="1:11" ht="28" customHeight="1">
      <c r="A90" s="9" t="s">
        <v>392</v>
      </c>
      <c r="B90" s="8">
        <v>46192</v>
      </c>
      <c r="C90" s="9" t="s">
        <v>48</v>
      </c>
      <c r="D90" s="9" t="s">
        <v>104</v>
      </c>
      <c r="E90" s="9" t="s">
        <v>660</v>
      </c>
      <c r="F90" s="9" t="s">
        <v>103</v>
      </c>
      <c r="G90" s="9" t="s">
        <v>701</v>
      </c>
      <c r="H90" s="8">
        <v>46177</v>
      </c>
      <c r="I90" s="9">
        <v>2</v>
      </c>
      <c r="J90" s="13" t="s">
        <v>702</v>
      </c>
      <c r="K90" s="13" t="s">
        <v>49</v>
      </c>
    </row>
    <row r="91" spans="1:11" ht="28" customHeight="1">
      <c r="A91" s="9" t="s">
        <v>396</v>
      </c>
      <c r="B91" s="8">
        <v>46183</v>
      </c>
      <c r="C91" s="9" t="s">
        <v>397</v>
      </c>
      <c r="D91" s="9" t="s">
        <v>399</v>
      </c>
      <c r="E91" s="9" t="s">
        <v>660</v>
      </c>
      <c r="F91" s="9" t="s">
        <v>103</v>
      </c>
      <c r="G91" s="9" t="s">
        <v>400</v>
      </c>
      <c r="H91" s="8">
        <v>46183</v>
      </c>
      <c r="I91" s="9">
        <v>1</v>
      </c>
      <c r="J91" s="13" t="s">
        <v>400</v>
      </c>
      <c r="K91" s="13" t="s">
        <v>401</v>
      </c>
    </row>
    <row r="92" spans="1:11" ht="28" customHeight="1">
      <c r="A92" s="9" t="s">
        <v>402</v>
      </c>
      <c r="B92" s="8">
        <v>46177</v>
      </c>
      <c r="C92" s="9" t="s">
        <v>405</v>
      </c>
      <c r="D92" s="9" t="s">
        <v>324</v>
      </c>
      <c r="E92" s="9" t="s">
        <v>660</v>
      </c>
      <c r="F92" s="9" t="s">
        <v>103</v>
      </c>
      <c r="G92" s="9" t="s">
        <v>408</v>
      </c>
      <c r="H92" s="8">
        <v>46177</v>
      </c>
      <c r="I92" s="9">
        <v>2</v>
      </c>
      <c r="J92" s="13" t="s">
        <v>703</v>
      </c>
      <c r="K92" s="13" t="s">
        <v>409</v>
      </c>
    </row>
    <row r="93" spans="1:11" ht="28" customHeight="1">
      <c r="A93" s="9" t="s">
        <v>402</v>
      </c>
      <c r="B93" s="8">
        <v>46177</v>
      </c>
      <c r="C93" s="9" t="s">
        <v>405</v>
      </c>
      <c r="D93" s="9" t="s">
        <v>704</v>
      </c>
      <c r="E93" s="9" t="s">
        <v>660</v>
      </c>
      <c r="F93" s="9" t="s">
        <v>103</v>
      </c>
      <c r="G93" s="9" t="s">
        <v>705</v>
      </c>
      <c r="H93" s="8">
        <v>46171</v>
      </c>
      <c r="I93" s="9">
        <v>2</v>
      </c>
      <c r="J93" s="13" t="s">
        <v>706</v>
      </c>
      <c r="K93" s="13" t="s">
        <v>409</v>
      </c>
    </row>
    <row r="94" spans="1:11" ht="28" customHeight="1">
      <c r="A94" s="9" t="s">
        <v>402</v>
      </c>
      <c r="B94" s="8">
        <v>46177</v>
      </c>
      <c r="C94" s="9" t="s">
        <v>405</v>
      </c>
      <c r="D94" s="9" t="s">
        <v>707</v>
      </c>
      <c r="E94" s="9" t="s">
        <v>660</v>
      </c>
      <c r="F94" s="9" t="s">
        <v>103</v>
      </c>
      <c r="G94" s="9" t="s">
        <v>708</v>
      </c>
      <c r="H94" s="8">
        <v>46170</v>
      </c>
      <c r="I94" s="9">
        <v>2</v>
      </c>
      <c r="J94" s="13" t="s">
        <v>709</v>
      </c>
      <c r="K94" s="13" t="s">
        <v>409</v>
      </c>
    </row>
    <row r="95" spans="1:11" ht="28" customHeight="1">
      <c r="A95" s="9" t="s">
        <v>402</v>
      </c>
      <c r="B95" s="8">
        <v>46177</v>
      </c>
      <c r="C95" s="9" t="s">
        <v>405</v>
      </c>
      <c r="D95" s="9" t="s">
        <v>250</v>
      </c>
      <c r="E95" s="9" t="s">
        <v>660</v>
      </c>
      <c r="F95" s="9" t="s">
        <v>103</v>
      </c>
      <c r="G95" s="9" t="s">
        <v>710</v>
      </c>
      <c r="H95" s="8">
        <v>46170</v>
      </c>
      <c r="I95" s="9">
        <v>1</v>
      </c>
      <c r="J95" s="13" t="s">
        <v>710</v>
      </c>
      <c r="K95" s="13" t="s">
        <v>409</v>
      </c>
    </row>
    <row r="96" spans="1:11" ht="28" customHeight="1">
      <c r="A96" s="9" t="s">
        <v>402</v>
      </c>
      <c r="B96" s="8">
        <v>46177</v>
      </c>
      <c r="C96" s="9" t="s">
        <v>405</v>
      </c>
      <c r="D96" s="9" t="s">
        <v>250</v>
      </c>
      <c r="E96" s="9" t="s">
        <v>660</v>
      </c>
      <c r="F96" s="9" t="s">
        <v>103</v>
      </c>
      <c r="G96" s="9" t="s">
        <v>711</v>
      </c>
      <c r="H96" s="8">
        <v>46170</v>
      </c>
      <c r="I96" s="9">
        <v>1</v>
      </c>
      <c r="J96" s="13" t="s">
        <v>711</v>
      </c>
      <c r="K96" s="13" t="s">
        <v>409</v>
      </c>
    </row>
    <row r="97" spans="1:11" ht="28" customHeight="1">
      <c r="A97" s="9" t="s">
        <v>402</v>
      </c>
      <c r="B97" s="8">
        <v>46177</v>
      </c>
      <c r="C97" s="9" t="s">
        <v>405</v>
      </c>
      <c r="D97" s="9" t="s">
        <v>299</v>
      </c>
      <c r="E97" s="9" t="s">
        <v>660</v>
      </c>
      <c r="F97" s="9" t="s">
        <v>103</v>
      </c>
      <c r="G97" s="9" t="s">
        <v>712</v>
      </c>
      <c r="H97" s="8">
        <v>46170</v>
      </c>
      <c r="I97" s="9">
        <v>2</v>
      </c>
      <c r="J97" s="13" t="s">
        <v>713</v>
      </c>
      <c r="K97" s="13" t="s">
        <v>409</v>
      </c>
    </row>
    <row r="98" spans="1:11" ht="28" customHeight="1">
      <c r="A98" s="9" t="s">
        <v>402</v>
      </c>
      <c r="B98" s="8">
        <v>46177</v>
      </c>
      <c r="C98" s="9" t="s">
        <v>405</v>
      </c>
      <c r="D98" s="9" t="s">
        <v>399</v>
      </c>
      <c r="E98" s="9" t="s">
        <v>660</v>
      </c>
      <c r="F98" s="9" t="s">
        <v>103</v>
      </c>
      <c r="G98" s="9" t="s">
        <v>714</v>
      </c>
      <c r="H98" s="8">
        <v>46170</v>
      </c>
      <c r="I98" s="9">
        <v>1</v>
      </c>
      <c r="J98" s="13" t="s">
        <v>714</v>
      </c>
      <c r="K98" s="13" t="s">
        <v>409</v>
      </c>
    </row>
    <row r="99" spans="1:11" ht="28" customHeight="1">
      <c r="A99" s="9" t="s">
        <v>402</v>
      </c>
      <c r="B99" s="8">
        <v>46177</v>
      </c>
      <c r="C99" s="9" t="s">
        <v>405</v>
      </c>
      <c r="D99" s="9" t="s">
        <v>250</v>
      </c>
      <c r="E99" s="9" t="s">
        <v>658</v>
      </c>
      <c r="F99" s="9" t="s">
        <v>103</v>
      </c>
      <c r="G99" s="9" t="s">
        <v>715</v>
      </c>
      <c r="H99" s="9"/>
      <c r="I99" s="9">
        <v>1</v>
      </c>
      <c r="J99" s="13" t="s">
        <v>715</v>
      </c>
      <c r="K99" s="13" t="s">
        <v>409</v>
      </c>
    </row>
    <row r="100" spans="1:11" ht="28" customHeight="1">
      <c r="A100" s="9" t="s">
        <v>402</v>
      </c>
      <c r="B100" s="8">
        <v>46177</v>
      </c>
      <c r="C100" s="9" t="s">
        <v>405</v>
      </c>
      <c r="D100" s="9" t="s">
        <v>250</v>
      </c>
      <c r="E100" s="9" t="s">
        <v>658</v>
      </c>
      <c r="F100" s="9" t="s">
        <v>103</v>
      </c>
      <c r="G100" s="9" t="s">
        <v>716</v>
      </c>
      <c r="H100" s="9"/>
      <c r="I100" s="9">
        <v>1</v>
      </c>
      <c r="J100" s="13" t="s">
        <v>716</v>
      </c>
      <c r="K100" s="13" t="s">
        <v>409</v>
      </c>
    </row>
    <row r="101" spans="1:11" ht="28" customHeight="1">
      <c r="A101" s="9" t="s">
        <v>402</v>
      </c>
      <c r="B101" s="8">
        <v>46177</v>
      </c>
      <c r="C101" s="9" t="s">
        <v>405</v>
      </c>
      <c r="D101" s="9" t="s">
        <v>475</v>
      </c>
      <c r="E101" s="9" t="s">
        <v>658</v>
      </c>
      <c r="F101" s="9" t="s">
        <v>103</v>
      </c>
      <c r="G101" s="9" t="s">
        <v>717</v>
      </c>
      <c r="H101" s="9"/>
      <c r="I101" s="9">
        <v>1</v>
      </c>
      <c r="J101" s="13" t="s">
        <v>717</v>
      </c>
      <c r="K101" s="13" t="s">
        <v>409</v>
      </c>
    </row>
    <row r="102" spans="1:11" ht="28" customHeight="1">
      <c r="A102" s="9" t="s">
        <v>410</v>
      </c>
      <c r="B102" s="8">
        <v>46175</v>
      </c>
      <c r="C102" s="9" t="s">
        <v>51</v>
      </c>
      <c r="D102" s="9" t="s">
        <v>394</v>
      </c>
      <c r="E102" s="9" t="s">
        <v>674</v>
      </c>
      <c r="F102" s="9" t="s">
        <v>127</v>
      </c>
      <c r="G102" s="9" t="s">
        <v>411</v>
      </c>
      <c r="H102" s="8">
        <v>46175</v>
      </c>
      <c r="I102" s="9">
        <v>1</v>
      </c>
      <c r="J102" s="13" t="s">
        <v>411</v>
      </c>
      <c r="K102" s="13" t="s">
        <v>53</v>
      </c>
    </row>
    <row r="103" spans="1:11" ht="28" customHeight="1">
      <c r="A103" s="9" t="s">
        <v>410</v>
      </c>
      <c r="B103" s="8">
        <v>46175</v>
      </c>
      <c r="C103" s="9" t="s">
        <v>51</v>
      </c>
      <c r="D103" s="9" t="s">
        <v>324</v>
      </c>
      <c r="E103" s="9" t="s">
        <v>660</v>
      </c>
      <c r="F103" s="9" t="s">
        <v>103</v>
      </c>
      <c r="G103" s="9" t="s">
        <v>718</v>
      </c>
      <c r="H103" s="8">
        <v>46176</v>
      </c>
      <c r="I103" s="9">
        <v>2</v>
      </c>
      <c r="J103" s="13" t="s">
        <v>719</v>
      </c>
      <c r="K103" s="13" t="s">
        <v>53</v>
      </c>
    </row>
    <row r="104" spans="1:11" ht="28" customHeight="1">
      <c r="A104" s="9" t="s">
        <v>410</v>
      </c>
      <c r="B104" s="8">
        <v>46175</v>
      </c>
      <c r="C104" s="9" t="s">
        <v>51</v>
      </c>
      <c r="D104" s="9" t="s">
        <v>299</v>
      </c>
      <c r="E104" s="9" t="s">
        <v>660</v>
      </c>
      <c r="F104" s="9" t="s">
        <v>103</v>
      </c>
      <c r="G104" s="9" t="s">
        <v>720</v>
      </c>
      <c r="H104" s="8">
        <v>46175</v>
      </c>
      <c r="I104" s="9">
        <v>2</v>
      </c>
      <c r="J104" s="13" t="s">
        <v>721</v>
      </c>
      <c r="K104" s="13" t="s">
        <v>53</v>
      </c>
    </row>
    <row r="105" spans="1:11" ht="28" customHeight="1">
      <c r="A105" s="9" t="s">
        <v>412</v>
      </c>
      <c r="B105" s="8">
        <v>46170</v>
      </c>
      <c r="C105" s="9" t="s">
        <v>414</v>
      </c>
      <c r="D105" s="9" t="s">
        <v>299</v>
      </c>
      <c r="E105" s="9" t="s">
        <v>660</v>
      </c>
      <c r="F105" s="9" t="s">
        <v>103</v>
      </c>
      <c r="G105" s="9" t="s">
        <v>415</v>
      </c>
      <c r="H105" s="8">
        <v>46170</v>
      </c>
      <c r="I105" s="9">
        <v>2</v>
      </c>
      <c r="J105" s="13" t="s">
        <v>722</v>
      </c>
      <c r="K105" s="13" t="s">
        <v>416</v>
      </c>
    </row>
    <row r="106" spans="1:11" ht="28" customHeight="1">
      <c r="A106" s="9" t="s">
        <v>417</v>
      </c>
      <c r="B106" s="8">
        <v>46167</v>
      </c>
      <c r="C106" s="9" t="s">
        <v>34</v>
      </c>
      <c r="D106" s="9" t="s">
        <v>299</v>
      </c>
      <c r="E106" s="9" t="s">
        <v>660</v>
      </c>
      <c r="F106" s="9" t="s">
        <v>103</v>
      </c>
      <c r="G106" s="9" t="s">
        <v>418</v>
      </c>
      <c r="H106" s="8">
        <v>46167</v>
      </c>
      <c r="I106" s="9">
        <v>2</v>
      </c>
      <c r="J106" s="13" t="s">
        <v>723</v>
      </c>
      <c r="K106" s="13" t="s">
        <v>419</v>
      </c>
    </row>
    <row r="107" spans="1:11" ht="28" customHeight="1">
      <c r="A107" s="9" t="s">
        <v>420</v>
      </c>
      <c r="B107" s="8">
        <v>46162</v>
      </c>
      <c r="C107" s="9" t="s">
        <v>405</v>
      </c>
      <c r="D107" s="9" t="s">
        <v>324</v>
      </c>
      <c r="E107" s="9" t="s">
        <v>660</v>
      </c>
      <c r="F107" s="9" t="s">
        <v>103</v>
      </c>
      <c r="G107" s="9" t="s">
        <v>421</v>
      </c>
      <c r="H107" s="8">
        <v>46162</v>
      </c>
      <c r="I107" s="9">
        <v>3</v>
      </c>
      <c r="J107" s="13" t="s">
        <v>724</v>
      </c>
      <c r="K107" s="13" t="s">
        <v>422</v>
      </c>
    </row>
    <row r="108" spans="1:11" ht="28" customHeight="1">
      <c r="A108" s="9" t="s">
        <v>420</v>
      </c>
      <c r="B108" s="8">
        <v>46162</v>
      </c>
      <c r="C108" s="9" t="s">
        <v>405</v>
      </c>
      <c r="D108" s="9" t="s">
        <v>725</v>
      </c>
      <c r="E108" s="9" t="s">
        <v>658</v>
      </c>
      <c r="F108" s="9" t="s">
        <v>103</v>
      </c>
      <c r="G108" s="9" t="s">
        <v>726</v>
      </c>
      <c r="H108" s="9"/>
      <c r="I108" s="9">
        <v>1</v>
      </c>
      <c r="J108" s="13" t="s">
        <v>726</v>
      </c>
      <c r="K108" s="13" t="s">
        <v>422</v>
      </c>
    </row>
    <row r="109" spans="1:11" ht="28" customHeight="1">
      <c r="A109" s="9" t="s">
        <v>423</v>
      </c>
      <c r="B109" s="8">
        <v>46157</v>
      </c>
      <c r="C109" s="9" t="s">
        <v>405</v>
      </c>
      <c r="D109" s="9" t="s">
        <v>299</v>
      </c>
      <c r="E109" s="9" t="s">
        <v>660</v>
      </c>
      <c r="F109" s="9" t="s">
        <v>103</v>
      </c>
      <c r="G109" s="9" t="s">
        <v>424</v>
      </c>
      <c r="H109" s="8">
        <v>46157</v>
      </c>
      <c r="I109" s="9">
        <v>2</v>
      </c>
      <c r="J109" s="13" t="s">
        <v>727</v>
      </c>
      <c r="K109" s="13" t="s">
        <v>425</v>
      </c>
    </row>
    <row r="110" spans="1:11" ht="28" customHeight="1">
      <c r="A110" s="9" t="s">
        <v>426</v>
      </c>
      <c r="B110" s="8">
        <v>46157</v>
      </c>
      <c r="C110" s="9" t="s">
        <v>34</v>
      </c>
      <c r="D110" s="9" t="s">
        <v>399</v>
      </c>
      <c r="E110" s="9" t="s">
        <v>660</v>
      </c>
      <c r="F110" s="9" t="s">
        <v>103</v>
      </c>
      <c r="G110" s="9" t="s">
        <v>427</v>
      </c>
      <c r="H110" s="8">
        <v>46157</v>
      </c>
      <c r="I110" s="9">
        <v>1</v>
      </c>
      <c r="J110" s="13" t="s">
        <v>427</v>
      </c>
      <c r="K110" s="13" t="s">
        <v>428</v>
      </c>
    </row>
    <row r="111" spans="1:11" ht="28" customHeight="1">
      <c r="A111" s="9" t="s">
        <v>429</v>
      </c>
      <c r="B111" s="8">
        <v>46150</v>
      </c>
      <c r="C111" s="9" t="s">
        <v>430</v>
      </c>
      <c r="D111" s="9" t="s">
        <v>399</v>
      </c>
      <c r="E111" s="9" t="s">
        <v>660</v>
      </c>
      <c r="F111" s="9" t="s">
        <v>103</v>
      </c>
      <c r="G111" s="9" t="s">
        <v>431</v>
      </c>
      <c r="H111" s="8">
        <v>46150</v>
      </c>
      <c r="I111" s="9">
        <v>1</v>
      </c>
      <c r="J111" s="13" t="s">
        <v>431</v>
      </c>
      <c r="K111" s="13" t="s">
        <v>432</v>
      </c>
    </row>
    <row r="112" spans="1:11" ht="28" customHeight="1">
      <c r="A112" s="9" t="s">
        <v>433</v>
      </c>
      <c r="B112" s="8">
        <v>46149</v>
      </c>
      <c r="C112" s="9" t="s">
        <v>34</v>
      </c>
      <c r="D112" s="9" t="s">
        <v>434</v>
      </c>
      <c r="E112" s="9" t="s">
        <v>658</v>
      </c>
      <c r="F112" s="9" t="s">
        <v>103</v>
      </c>
      <c r="G112" s="9" t="s">
        <v>435</v>
      </c>
      <c r="H112" s="9"/>
      <c r="I112" s="9">
        <v>2</v>
      </c>
      <c r="J112" s="13" t="s">
        <v>728</v>
      </c>
      <c r="K112" s="13" t="s">
        <v>436</v>
      </c>
    </row>
    <row r="113" spans="1:11" ht="28" customHeight="1">
      <c r="A113" s="9" t="s">
        <v>437</v>
      </c>
      <c r="B113" s="8">
        <v>46147</v>
      </c>
      <c r="C113" s="9" t="s">
        <v>48</v>
      </c>
      <c r="D113" s="9" t="s">
        <v>324</v>
      </c>
      <c r="E113" s="9" t="s">
        <v>660</v>
      </c>
      <c r="F113" s="9" t="s">
        <v>103</v>
      </c>
      <c r="G113" s="9" t="s">
        <v>438</v>
      </c>
      <c r="H113" s="8">
        <v>46147</v>
      </c>
      <c r="I113" s="9">
        <v>3</v>
      </c>
      <c r="J113" s="13" t="s">
        <v>729</v>
      </c>
      <c r="K113" s="13" t="s">
        <v>439</v>
      </c>
    </row>
    <row r="114" spans="1:11" ht="28" customHeight="1">
      <c r="A114" s="9" t="s">
        <v>437</v>
      </c>
      <c r="B114" s="8">
        <v>46147</v>
      </c>
      <c r="C114" s="9" t="s">
        <v>48</v>
      </c>
      <c r="D114" s="9" t="s">
        <v>121</v>
      </c>
      <c r="E114" s="9" t="s">
        <v>658</v>
      </c>
      <c r="F114" s="9" t="s">
        <v>103</v>
      </c>
      <c r="G114" s="9" t="s">
        <v>730</v>
      </c>
      <c r="H114" s="9"/>
      <c r="I114" s="9">
        <v>1</v>
      </c>
      <c r="J114" s="13" t="s">
        <v>730</v>
      </c>
      <c r="K114" s="13" t="s">
        <v>439</v>
      </c>
    </row>
    <row r="115" spans="1:11" ht="28" customHeight="1">
      <c r="A115" s="9" t="s">
        <v>440</v>
      </c>
      <c r="B115" s="8">
        <v>46146</v>
      </c>
      <c r="C115" s="9" t="s">
        <v>48</v>
      </c>
      <c r="D115" s="9" t="s">
        <v>442</v>
      </c>
      <c r="E115" s="9" t="s">
        <v>660</v>
      </c>
      <c r="F115" s="9" t="s">
        <v>103</v>
      </c>
      <c r="G115" s="9" t="s">
        <v>443</v>
      </c>
      <c r="H115" s="8">
        <v>46146</v>
      </c>
      <c r="I115" s="9">
        <v>2</v>
      </c>
      <c r="J115" s="13" t="s">
        <v>731</v>
      </c>
      <c r="K115" s="13" t="s">
        <v>444</v>
      </c>
    </row>
    <row r="116" spans="1:11" ht="28" customHeight="1">
      <c r="A116" s="9" t="s">
        <v>445</v>
      </c>
      <c r="B116" s="8">
        <v>46139</v>
      </c>
      <c r="C116" s="9" t="s">
        <v>34</v>
      </c>
      <c r="D116" s="9" t="s">
        <v>139</v>
      </c>
      <c r="E116" s="9" t="s">
        <v>660</v>
      </c>
      <c r="F116" s="9" t="s">
        <v>103</v>
      </c>
      <c r="G116" s="9" t="s">
        <v>446</v>
      </c>
      <c r="H116" s="8">
        <v>46139</v>
      </c>
      <c r="I116" s="9">
        <v>2</v>
      </c>
      <c r="J116" s="13" t="s">
        <v>732</v>
      </c>
      <c r="K116" s="13" t="s">
        <v>447</v>
      </c>
    </row>
    <row r="117" spans="1:11" ht="28" customHeight="1">
      <c r="A117" s="9" t="s">
        <v>448</v>
      </c>
      <c r="B117" s="8">
        <v>46139</v>
      </c>
      <c r="C117" s="9" t="s">
        <v>34</v>
      </c>
      <c r="D117" s="9" t="s">
        <v>324</v>
      </c>
      <c r="E117" s="9" t="s">
        <v>660</v>
      </c>
      <c r="F117" s="9" t="s">
        <v>103</v>
      </c>
      <c r="G117" s="9" t="s">
        <v>449</v>
      </c>
      <c r="H117" s="8">
        <v>46139</v>
      </c>
      <c r="I117" s="9">
        <v>3</v>
      </c>
      <c r="J117" s="13" t="s">
        <v>733</v>
      </c>
      <c r="K117" s="13" t="s">
        <v>450</v>
      </c>
    </row>
    <row r="118" spans="1:11" ht="28" customHeight="1">
      <c r="A118" s="9" t="s">
        <v>451</v>
      </c>
      <c r="B118" s="8">
        <v>46139</v>
      </c>
      <c r="C118" s="9" t="s">
        <v>34</v>
      </c>
      <c r="D118" s="9" t="s">
        <v>452</v>
      </c>
      <c r="E118" s="9" t="s">
        <v>660</v>
      </c>
      <c r="F118" s="9" t="s">
        <v>103</v>
      </c>
      <c r="G118" s="9" t="s">
        <v>453</v>
      </c>
      <c r="H118" s="8">
        <v>46139</v>
      </c>
      <c r="I118" s="9">
        <v>2</v>
      </c>
      <c r="J118" s="13" t="s">
        <v>734</v>
      </c>
      <c r="K118" s="13" t="s">
        <v>454</v>
      </c>
    </row>
    <row r="119" spans="1:11" ht="28" customHeight="1">
      <c r="A119" s="9" t="s">
        <v>451</v>
      </c>
      <c r="B119" s="8">
        <v>46139</v>
      </c>
      <c r="C119" s="9" t="s">
        <v>34</v>
      </c>
      <c r="D119" s="9" t="s">
        <v>104</v>
      </c>
      <c r="E119" s="9" t="s">
        <v>660</v>
      </c>
      <c r="F119" s="9" t="s">
        <v>103</v>
      </c>
      <c r="G119" s="9" t="s">
        <v>735</v>
      </c>
      <c r="H119" s="8">
        <v>46139</v>
      </c>
      <c r="I119" s="9">
        <v>2</v>
      </c>
      <c r="J119" s="13" t="s">
        <v>736</v>
      </c>
      <c r="K119" s="13" t="s">
        <v>454</v>
      </c>
    </row>
    <row r="120" spans="1:11" ht="28" customHeight="1">
      <c r="A120" s="9" t="s">
        <v>451</v>
      </c>
      <c r="B120" s="8">
        <v>46139</v>
      </c>
      <c r="C120" s="9" t="s">
        <v>34</v>
      </c>
      <c r="D120" s="9" t="s">
        <v>737</v>
      </c>
      <c r="E120" s="9" t="s">
        <v>658</v>
      </c>
      <c r="F120" s="9" t="s">
        <v>103</v>
      </c>
      <c r="G120" s="9" t="s">
        <v>738</v>
      </c>
      <c r="H120" s="9"/>
      <c r="I120" s="9">
        <v>1</v>
      </c>
      <c r="J120" s="13" t="s">
        <v>738</v>
      </c>
      <c r="K120" s="13" t="s">
        <v>454</v>
      </c>
    </row>
    <row r="121" spans="1:11" ht="28" customHeight="1">
      <c r="A121" s="9" t="s">
        <v>455</v>
      </c>
      <c r="B121" s="8">
        <v>46139</v>
      </c>
      <c r="C121" s="9" t="s">
        <v>34</v>
      </c>
      <c r="D121" s="9" t="s">
        <v>456</v>
      </c>
      <c r="E121" s="9" t="s">
        <v>660</v>
      </c>
      <c r="F121" s="9" t="s">
        <v>103</v>
      </c>
      <c r="G121" s="9" t="s">
        <v>457</v>
      </c>
      <c r="H121" s="8">
        <v>46139</v>
      </c>
      <c r="I121" s="9">
        <v>2</v>
      </c>
      <c r="J121" s="13" t="s">
        <v>739</v>
      </c>
      <c r="K121" s="13" t="s">
        <v>458</v>
      </c>
    </row>
    <row r="122" spans="1:11" ht="28" customHeight="1">
      <c r="A122" s="9" t="s">
        <v>459</v>
      </c>
      <c r="B122" s="8">
        <v>46139</v>
      </c>
      <c r="C122" s="9" t="s">
        <v>34</v>
      </c>
      <c r="D122" s="9" t="s">
        <v>460</v>
      </c>
      <c r="E122" s="9" t="s">
        <v>660</v>
      </c>
      <c r="F122" s="9" t="s">
        <v>103</v>
      </c>
      <c r="G122" s="9" t="s">
        <v>461</v>
      </c>
      <c r="H122" s="8">
        <v>46139</v>
      </c>
      <c r="I122" s="9">
        <v>2</v>
      </c>
      <c r="J122" s="13" t="s">
        <v>740</v>
      </c>
      <c r="K122" s="13" t="s">
        <v>462</v>
      </c>
    </row>
    <row r="123" spans="1:11" ht="28" customHeight="1">
      <c r="A123" s="9" t="s">
        <v>463</v>
      </c>
      <c r="B123" s="8">
        <v>46132</v>
      </c>
      <c r="C123" s="9" t="s">
        <v>405</v>
      </c>
      <c r="D123" s="9" t="s">
        <v>250</v>
      </c>
      <c r="E123" s="9" t="s">
        <v>660</v>
      </c>
      <c r="F123" s="9" t="s">
        <v>103</v>
      </c>
      <c r="G123" s="9" t="s">
        <v>464</v>
      </c>
      <c r="H123" s="8">
        <v>46132</v>
      </c>
      <c r="I123" s="9">
        <v>2</v>
      </c>
      <c r="J123" s="13" t="s">
        <v>741</v>
      </c>
      <c r="K123" s="13" t="s">
        <v>465</v>
      </c>
    </row>
    <row r="124" spans="1:11" ht="28" customHeight="1">
      <c r="A124" s="9" t="s">
        <v>466</v>
      </c>
      <c r="B124" s="8">
        <v>46132</v>
      </c>
      <c r="C124" s="9" t="s">
        <v>48</v>
      </c>
      <c r="D124" s="9" t="s">
        <v>467</v>
      </c>
      <c r="E124" s="9" t="s">
        <v>660</v>
      </c>
      <c r="F124" s="9" t="s">
        <v>103</v>
      </c>
      <c r="G124" s="9" t="s">
        <v>468</v>
      </c>
      <c r="H124" s="8">
        <v>46132</v>
      </c>
      <c r="I124" s="9">
        <v>2</v>
      </c>
      <c r="J124" s="13" t="s">
        <v>742</v>
      </c>
      <c r="K124" s="13" t="s">
        <v>469</v>
      </c>
    </row>
    <row r="125" spans="1:11" ht="28" customHeight="1">
      <c r="A125" s="9" t="s">
        <v>466</v>
      </c>
      <c r="B125" s="8">
        <v>46132</v>
      </c>
      <c r="C125" s="9" t="s">
        <v>48</v>
      </c>
      <c r="D125" s="9" t="s">
        <v>121</v>
      </c>
      <c r="E125" s="9" t="s">
        <v>658</v>
      </c>
      <c r="F125" s="9" t="s">
        <v>103</v>
      </c>
      <c r="G125" s="9" t="s">
        <v>743</v>
      </c>
      <c r="H125" s="9"/>
      <c r="I125" s="9">
        <v>1</v>
      </c>
      <c r="J125" s="13" t="s">
        <v>743</v>
      </c>
      <c r="K125" s="13" t="s">
        <v>469</v>
      </c>
    </row>
    <row r="126" spans="1:11" ht="28" customHeight="1">
      <c r="A126" s="9" t="s">
        <v>470</v>
      </c>
      <c r="B126" s="8">
        <v>46132</v>
      </c>
      <c r="C126" s="9" t="s">
        <v>48</v>
      </c>
      <c r="D126" s="9" t="s">
        <v>471</v>
      </c>
      <c r="E126" s="9" t="s">
        <v>660</v>
      </c>
      <c r="F126" s="9" t="s">
        <v>103</v>
      </c>
      <c r="G126" s="9" t="s">
        <v>472</v>
      </c>
      <c r="H126" s="8">
        <v>46132</v>
      </c>
      <c r="I126" s="9">
        <v>2</v>
      </c>
      <c r="J126" s="13" t="s">
        <v>744</v>
      </c>
      <c r="K126" s="13" t="s">
        <v>473</v>
      </c>
    </row>
    <row r="127" spans="1:11" ht="28" customHeight="1">
      <c r="A127" s="9" t="s">
        <v>474</v>
      </c>
      <c r="B127" s="8">
        <v>46132</v>
      </c>
      <c r="C127" s="9" t="s">
        <v>405</v>
      </c>
      <c r="D127" s="9" t="s">
        <v>475</v>
      </c>
      <c r="E127" s="9" t="s">
        <v>658</v>
      </c>
      <c r="F127" s="9" t="s">
        <v>103</v>
      </c>
      <c r="G127" s="9" t="s">
        <v>476</v>
      </c>
      <c r="H127" s="9"/>
      <c r="I127" s="9">
        <v>2</v>
      </c>
      <c r="J127" s="13" t="s">
        <v>745</v>
      </c>
      <c r="K127" s="13" t="s">
        <v>477</v>
      </c>
    </row>
    <row r="128" spans="1:11" ht="28" customHeight="1">
      <c r="A128" s="9" t="s">
        <v>478</v>
      </c>
      <c r="B128" s="8">
        <v>46128</v>
      </c>
      <c r="C128" s="9" t="s">
        <v>479</v>
      </c>
      <c r="D128" s="9" t="s">
        <v>471</v>
      </c>
      <c r="E128" s="9" t="s">
        <v>660</v>
      </c>
      <c r="F128" s="9" t="s">
        <v>103</v>
      </c>
      <c r="G128" s="9" t="s">
        <v>481</v>
      </c>
      <c r="H128" s="8">
        <v>46128</v>
      </c>
      <c r="I128" s="9">
        <v>2</v>
      </c>
      <c r="J128" s="13" t="s">
        <v>746</v>
      </c>
      <c r="K128" s="13" t="s">
        <v>482</v>
      </c>
    </row>
    <row r="129" spans="1:11" ht="28" customHeight="1">
      <c r="A129" s="9" t="s">
        <v>478</v>
      </c>
      <c r="B129" s="8">
        <v>46128</v>
      </c>
      <c r="C129" s="9" t="s">
        <v>479</v>
      </c>
      <c r="D129" s="9" t="s">
        <v>139</v>
      </c>
      <c r="E129" s="9" t="s">
        <v>660</v>
      </c>
      <c r="F129" s="9" t="s">
        <v>103</v>
      </c>
      <c r="G129" s="9" t="s">
        <v>747</v>
      </c>
      <c r="H129" s="8">
        <v>46128</v>
      </c>
      <c r="I129" s="9">
        <v>2</v>
      </c>
      <c r="J129" s="13" t="s">
        <v>748</v>
      </c>
      <c r="K129" s="13" t="s">
        <v>482</v>
      </c>
    </row>
    <row r="130" spans="1:11" ht="28" customHeight="1">
      <c r="A130" s="9" t="s">
        <v>478</v>
      </c>
      <c r="B130" s="8">
        <v>46128</v>
      </c>
      <c r="C130" s="9" t="s">
        <v>479</v>
      </c>
      <c r="D130" s="9" t="s">
        <v>749</v>
      </c>
      <c r="E130" s="9" t="s">
        <v>660</v>
      </c>
      <c r="F130" s="9" t="s">
        <v>103</v>
      </c>
      <c r="G130" s="9" t="s">
        <v>750</v>
      </c>
      <c r="H130" s="8">
        <v>46128</v>
      </c>
      <c r="I130" s="9">
        <v>2</v>
      </c>
      <c r="J130" s="13" t="s">
        <v>751</v>
      </c>
      <c r="K130" s="13" t="s">
        <v>482</v>
      </c>
    </row>
    <row r="131" spans="1:11" ht="28" customHeight="1">
      <c r="A131" s="9" t="s">
        <v>478</v>
      </c>
      <c r="B131" s="8">
        <v>46128</v>
      </c>
      <c r="C131" s="9" t="s">
        <v>479</v>
      </c>
      <c r="D131" s="9" t="s">
        <v>496</v>
      </c>
      <c r="E131" s="9" t="s">
        <v>658</v>
      </c>
      <c r="F131" s="9" t="s">
        <v>103</v>
      </c>
      <c r="G131" s="9" t="s">
        <v>752</v>
      </c>
      <c r="H131" s="9"/>
      <c r="I131" s="9">
        <v>1</v>
      </c>
      <c r="J131" s="13" t="s">
        <v>752</v>
      </c>
      <c r="K131" s="13" t="s">
        <v>482</v>
      </c>
    </row>
    <row r="132" spans="1:11" ht="28" customHeight="1">
      <c r="A132" s="9" t="s">
        <v>483</v>
      </c>
      <c r="B132" s="8">
        <v>46122</v>
      </c>
      <c r="C132" s="9" t="s">
        <v>480</v>
      </c>
      <c r="D132" s="9" t="s">
        <v>299</v>
      </c>
      <c r="E132" s="9" t="s">
        <v>660</v>
      </c>
      <c r="F132" s="9" t="s">
        <v>103</v>
      </c>
      <c r="G132" s="9" t="s">
        <v>484</v>
      </c>
      <c r="H132" s="8">
        <v>46122</v>
      </c>
      <c r="I132" s="9">
        <v>2</v>
      </c>
      <c r="J132" s="13" t="s">
        <v>753</v>
      </c>
      <c r="K132" s="13" t="s">
        <v>485</v>
      </c>
    </row>
    <row r="133" spans="1:11" ht="28" customHeight="1">
      <c r="A133" s="9" t="s">
        <v>486</v>
      </c>
      <c r="B133" s="8">
        <v>46122</v>
      </c>
      <c r="C133" s="9" t="s">
        <v>405</v>
      </c>
      <c r="D133" s="9" t="s">
        <v>250</v>
      </c>
      <c r="E133" s="9" t="s">
        <v>660</v>
      </c>
      <c r="F133" s="9" t="s">
        <v>103</v>
      </c>
      <c r="G133" s="9" t="s">
        <v>487</v>
      </c>
      <c r="H133" s="8">
        <v>46122</v>
      </c>
      <c r="I133" s="9">
        <v>2</v>
      </c>
      <c r="J133" s="13" t="s">
        <v>754</v>
      </c>
      <c r="K133" s="13" t="s">
        <v>488</v>
      </c>
    </row>
    <row r="134" spans="1:11" ht="28" customHeight="1">
      <c r="A134" s="9" t="s">
        <v>489</v>
      </c>
      <c r="B134" s="8">
        <v>46115</v>
      </c>
      <c r="C134" s="9" t="s">
        <v>405</v>
      </c>
      <c r="D134" s="9" t="s">
        <v>467</v>
      </c>
      <c r="E134" s="9" t="s">
        <v>660</v>
      </c>
      <c r="F134" s="9" t="s">
        <v>103</v>
      </c>
      <c r="G134" s="9" t="s">
        <v>490</v>
      </c>
      <c r="H134" s="8">
        <v>46115</v>
      </c>
      <c r="I134" s="9">
        <v>2</v>
      </c>
      <c r="J134" s="13" t="s">
        <v>755</v>
      </c>
      <c r="K134" s="13" t="s">
        <v>491</v>
      </c>
    </row>
    <row r="135" spans="1:11" ht="28" customHeight="1">
      <c r="A135" s="9" t="s">
        <v>492</v>
      </c>
      <c r="B135" s="8">
        <v>46115</v>
      </c>
      <c r="C135" s="9" t="s">
        <v>405</v>
      </c>
      <c r="D135" s="9" t="s">
        <v>324</v>
      </c>
      <c r="E135" s="9" t="s">
        <v>660</v>
      </c>
      <c r="F135" s="9" t="s">
        <v>103</v>
      </c>
      <c r="G135" s="9" t="s">
        <v>493</v>
      </c>
      <c r="H135" s="8">
        <v>46115</v>
      </c>
      <c r="I135" s="9">
        <v>2</v>
      </c>
      <c r="J135" s="13" t="s">
        <v>756</v>
      </c>
      <c r="K135" s="13" t="s">
        <v>494</v>
      </c>
    </row>
    <row r="136" spans="1:11" ht="28" customHeight="1">
      <c r="A136" s="9" t="s">
        <v>495</v>
      </c>
      <c r="B136" s="8">
        <v>46111</v>
      </c>
      <c r="C136" s="9" t="s">
        <v>480</v>
      </c>
      <c r="D136" s="9" t="s">
        <v>496</v>
      </c>
      <c r="E136" s="9" t="s">
        <v>660</v>
      </c>
      <c r="F136" s="9" t="s">
        <v>103</v>
      </c>
      <c r="G136" s="9" t="s">
        <v>497</v>
      </c>
      <c r="H136" s="8">
        <v>46111</v>
      </c>
      <c r="I136" s="9">
        <v>1</v>
      </c>
      <c r="J136" s="13" t="s">
        <v>497</v>
      </c>
      <c r="K136" s="13" t="s">
        <v>498</v>
      </c>
    </row>
    <row r="137" spans="1:11" ht="28" customHeight="1">
      <c r="A137" s="9" t="s">
        <v>499</v>
      </c>
      <c r="B137" s="8">
        <v>46111</v>
      </c>
      <c r="C137" s="9" t="s">
        <v>480</v>
      </c>
      <c r="D137" s="9" t="s">
        <v>299</v>
      </c>
      <c r="E137" s="9" t="s">
        <v>660</v>
      </c>
      <c r="F137" s="9" t="s">
        <v>103</v>
      </c>
      <c r="G137" s="9" t="s">
        <v>500</v>
      </c>
      <c r="H137" s="8">
        <v>46111</v>
      </c>
      <c r="I137" s="9">
        <v>1</v>
      </c>
      <c r="J137" s="13" t="s">
        <v>500</v>
      </c>
      <c r="K137" s="13" t="s">
        <v>501</v>
      </c>
    </row>
    <row r="138" spans="1:11" ht="28" customHeight="1">
      <c r="A138" s="9" t="s">
        <v>502</v>
      </c>
      <c r="B138" s="8">
        <v>46080</v>
      </c>
      <c r="C138" s="9" t="s">
        <v>41</v>
      </c>
      <c r="D138" s="9" t="s">
        <v>188</v>
      </c>
      <c r="E138" s="9" t="s">
        <v>660</v>
      </c>
      <c r="F138" s="9" t="s">
        <v>127</v>
      </c>
      <c r="G138" s="9" t="s">
        <v>503</v>
      </c>
      <c r="H138" s="8">
        <v>46080</v>
      </c>
      <c r="I138" s="9">
        <v>1</v>
      </c>
      <c r="J138" s="13" t="s">
        <v>503</v>
      </c>
      <c r="K138" s="13" t="s">
        <v>54</v>
      </c>
    </row>
    <row r="139" spans="1:11" ht="28" customHeight="1">
      <c r="A139" s="9" t="s">
        <v>504</v>
      </c>
      <c r="B139" s="8">
        <v>45923</v>
      </c>
      <c r="C139" s="9" t="s">
        <v>41</v>
      </c>
      <c r="D139" s="9" t="s">
        <v>188</v>
      </c>
      <c r="E139" s="9" t="s">
        <v>674</v>
      </c>
      <c r="F139" s="9" t="s">
        <v>127</v>
      </c>
      <c r="G139" s="9" t="s">
        <v>506</v>
      </c>
      <c r="H139" s="8">
        <v>45923</v>
      </c>
      <c r="I139" s="9">
        <v>1</v>
      </c>
      <c r="J139" s="13" t="s">
        <v>506</v>
      </c>
      <c r="K139" s="13" t="s">
        <v>55</v>
      </c>
    </row>
    <row r="140" spans="1:11" ht="28" customHeight="1">
      <c r="A140" s="9" t="s">
        <v>507</v>
      </c>
      <c r="B140" s="8">
        <v>45729</v>
      </c>
      <c r="C140" s="9" t="s">
        <v>48</v>
      </c>
      <c r="D140" s="9" t="s">
        <v>394</v>
      </c>
      <c r="E140" s="9" t="s">
        <v>674</v>
      </c>
      <c r="F140" s="9" t="s">
        <v>127</v>
      </c>
      <c r="G140" s="9" t="s">
        <v>508</v>
      </c>
      <c r="H140" s="8">
        <v>45729</v>
      </c>
      <c r="I140" s="9">
        <v>1</v>
      </c>
      <c r="J140" s="13" t="s">
        <v>508</v>
      </c>
      <c r="K140" s="13" t="s">
        <v>509</v>
      </c>
    </row>
    <row r="141" spans="1:11" ht="28" customHeight="1">
      <c r="A141" s="9" t="s">
        <v>510</v>
      </c>
      <c r="B141" s="8">
        <v>45642</v>
      </c>
      <c r="C141" s="9" t="s">
        <v>34</v>
      </c>
      <c r="D141" s="9" t="s">
        <v>188</v>
      </c>
      <c r="E141" s="9" t="s">
        <v>674</v>
      </c>
      <c r="F141" s="9" t="s">
        <v>127</v>
      </c>
      <c r="G141" s="9" t="s">
        <v>511</v>
      </c>
      <c r="H141" s="8">
        <v>45642</v>
      </c>
      <c r="I141" s="9">
        <v>1</v>
      </c>
      <c r="J141" s="13" t="s">
        <v>511</v>
      </c>
      <c r="K141" s="13" t="s">
        <v>512</v>
      </c>
    </row>
    <row r="142" spans="1:11" ht="28" customHeight="1">
      <c r="A142" s="9" t="s">
        <v>513</v>
      </c>
      <c r="B142" s="8">
        <v>45611</v>
      </c>
      <c r="C142" s="9" t="s">
        <v>41</v>
      </c>
      <c r="D142" s="9" t="s">
        <v>188</v>
      </c>
      <c r="E142" s="9" t="s">
        <v>674</v>
      </c>
      <c r="F142" s="9" t="s">
        <v>127</v>
      </c>
      <c r="G142" s="9" t="s">
        <v>516</v>
      </c>
      <c r="H142" s="8">
        <v>45611</v>
      </c>
      <c r="I142" s="9">
        <v>1</v>
      </c>
      <c r="J142" s="13" t="s">
        <v>516</v>
      </c>
      <c r="K142" s="13" t="s">
        <v>517</v>
      </c>
    </row>
    <row r="143" spans="1:11" ht="28" customHeight="1">
      <c r="A143" s="9" t="s">
        <v>518</v>
      </c>
      <c r="B143" s="8">
        <v>45391</v>
      </c>
      <c r="C143" s="9" t="s">
        <v>41</v>
      </c>
      <c r="D143" s="9" t="s">
        <v>188</v>
      </c>
      <c r="E143" s="9" t="s">
        <v>660</v>
      </c>
      <c r="F143" s="9" t="s">
        <v>127</v>
      </c>
      <c r="G143" s="9" t="s">
        <v>520</v>
      </c>
      <c r="H143" s="8">
        <v>45391</v>
      </c>
      <c r="I143" s="9">
        <v>1</v>
      </c>
      <c r="J143" s="13" t="s">
        <v>520</v>
      </c>
      <c r="K143" s="13" t="s">
        <v>521</v>
      </c>
    </row>
    <row r="144" spans="1:11" ht="28" customHeight="1">
      <c r="A144" s="9" t="s">
        <v>522</v>
      </c>
      <c r="B144" s="8">
        <v>45357</v>
      </c>
      <c r="C144" s="9" t="s">
        <v>41</v>
      </c>
      <c r="D144" s="9" t="s">
        <v>188</v>
      </c>
      <c r="E144" s="9" t="s">
        <v>674</v>
      </c>
      <c r="F144" s="9" t="s">
        <v>127</v>
      </c>
      <c r="G144" s="9" t="s">
        <v>523</v>
      </c>
      <c r="H144" s="8">
        <v>45357</v>
      </c>
      <c r="I144" s="9">
        <v>1</v>
      </c>
      <c r="J144" s="13" t="s">
        <v>523</v>
      </c>
      <c r="K144" s="13" t="s">
        <v>517</v>
      </c>
    </row>
    <row r="145" spans="1:11" ht="28" customHeight="1">
      <c r="A145" s="9" t="s">
        <v>524</v>
      </c>
      <c r="B145" s="8">
        <v>45288</v>
      </c>
      <c r="C145" s="9" t="s">
        <v>525</v>
      </c>
      <c r="D145" s="9" t="s">
        <v>188</v>
      </c>
      <c r="E145" s="9" t="s">
        <v>674</v>
      </c>
      <c r="F145" s="9" t="s">
        <v>127</v>
      </c>
      <c r="G145" s="9" t="s">
        <v>527</v>
      </c>
      <c r="H145" s="8">
        <v>45288</v>
      </c>
      <c r="I145" s="9">
        <v>1</v>
      </c>
      <c r="J145" s="13" t="s">
        <v>527</v>
      </c>
      <c r="K145" s="13" t="s">
        <v>528</v>
      </c>
    </row>
    <row r="146" spans="1:11" ht="28" customHeight="1">
      <c r="A146" s="9" t="s">
        <v>529</v>
      </c>
      <c r="B146" s="8">
        <v>45190</v>
      </c>
      <c r="C146" s="9" t="s">
        <v>530</v>
      </c>
      <c r="D146" s="9" t="s">
        <v>539</v>
      </c>
      <c r="E146" s="9" t="s">
        <v>757</v>
      </c>
      <c r="F146" s="9" t="s">
        <v>127</v>
      </c>
      <c r="G146" s="9" t="s">
        <v>540</v>
      </c>
      <c r="H146" s="8">
        <v>45190</v>
      </c>
      <c r="I146" s="9">
        <v>1</v>
      </c>
      <c r="J146" s="13" t="s">
        <v>540</v>
      </c>
      <c r="K146" s="13" t="s">
        <v>541</v>
      </c>
    </row>
    <row r="147" spans="1:11" ht="28" customHeight="1">
      <c r="A147" s="9" t="s">
        <v>529</v>
      </c>
      <c r="B147" s="8">
        <v>45190</v>
      </c>
      <c r="C147" s="9" t="s">
        <v>530</v>
      </c>
      <c r="D147" s="9" t="s">
        <v>536</v>
      </c>
      <c r="E147" s="9" t="s">
        <v>758</v>
      </c>
      <c r="F147" s="9" t="s">
        <v>127</v>
      </c>
      <c r="G147" s="9" t="s">
        <v>633</v>
      </c>
      <c r="H147" s="8">
        <v>45008</v>
      </c>
      <c r="I147" s="9">
        <v>1</v>
      </c>
      <c r="J147" s="13" t="s">
        <v>633</v>
      </c>
      <c r="K147" s="13" t="s">
        <v>541</v>
      </c>
    </row>
    <row r="148" spans="1:11" ht="28" customHeight="1">
      <c r="A148" s="9" t="s">
        <v>542</v>
      </c>
      <c r="B148" s="8">
        <v>44707</v>
      </c>
      <c r="C148" s="9" t="s">
        <v>543</v>
      </c>
      <c r="D148" s="9" t="s">
        <v>550</v>
      </c>
      <c r="E148" s="9" t="s">
        <v>757</v>
      </c>
      <c r="F148" s="9" t="s">
        <v>127</v>
      </c>
      <c r="G148" s="9" t="s">
        <v>551</v>
      </c>
      <c r="H148" s="8">
        <v>44707</v>
      </c>
      <c r="I148" s="9">
        <v>1</v>
      </c>
      <c r="J148" s="13" t="s">
        <v>551</v>
      </c>
      <c r="K148" s="13" t="s">
        <v>552</v>
      </c>
    </row>
    <row r="149" spans="1:11" ht="28" customHeight="1">
      <c r="A149" s="9" t="s">
        <v>542</v>
      </c>
      <c r="B149" s="8">
        <v>44707</v>
      </c>
      <c r="C149" s="9" t="s">
        <v>543</v>
      </c>
      <c r="D149" s="9" t="s">
        <v>548</v>
      </c>
      <c r="E149" s="9" t="s">
        <v>758</v>
      </c>
      <c r="F149" s="9" t="s">
        <v>127</v>
      </c>
      <c r="G149" s="9" t="s">
        <v>634</v>
      </c>
      <c r="H149" s="8">
        <v>44644</v>
      </c>
      <c r="I149" s="9">
        <v>1</v>
      </c>
      <c r="J149" s="13" t="s">
        <v>634</v>
      </c>
      <c r="K149" s="13" t="s">
        <v>552</v>
      </c>
    </row>
    <row r="150" spans="1:11" ht="28" customHeight="1">
      <c r="A150" s="9" t="s">
        <v>553</v>
      </c>
      <c r="B150" s="8">
        <v>44640</v>
      </c>
      <c r="C150" s="9" t="s">
        <v>554</v>
      </c>
      <c r="D150" s="9" t="s">
        <v>560</v>
      </c>
      <c r="E150" s="9" t="s">
        <v>757</v>
      </c>
      <c r="F150" s="9" t="s">
        <v>127</v>
      </c>
      <c r="G150" s="9" t="s">
        <v>561</v>
      </c>
      <c r="H150" s="8">
        <v>44734</v>
      </c>
      <c r="I150" s="9">
        <v>1</v>
      </c>
      <c r="J150" s="13" t="s">
        <v>561</v>
      </c>
      <c r="K150" s="13" t="s">
        <v>562</v>
      </c>
    </row>
    <row r="151" spans="1:11" ht="28" customHeight="1">
      <c r="A151" s="9" t="s">
        <v>553</v>
      </c>
      <c r="B151" s="8">
        <v>44640</v>
      </c>
      <c r="C151" s="9" t="s">
        <v>554</v>
      </c>
      <c r="D151" s="9" t="s">
        <v>557</v>
      </c>
      <c r="E151" s="9" t="s">
        <v>758</v>
      </c>
      <c r="F151" s="9" t="s">
        <v>127</v>
      </c>
      <c r="G151" s="9" t="s">
        <v>635</v>
      </c>
      <c r="H151" s="8">
        <v>44643</v>
      </c>
      <c r="I151" s="9">
        <v>1</v>
      </c>
      <c r="J151" s="13" t="s">
        <v>635</v>
      </c>
      <c r="K151" s="13" t="s">
        <v>562</v>
      </c>
    </row>
    <row r="152" spans="1:11" ht="28" customHeight="1">
      <c r="A152" s="9" t="s">
        <v>563</v>
      </c>
      <c r="B152" s="8">
        <v>44592</v>
      </c>
      <c r="C152" s="9" t="s">
        <v>564</v>
      </c>
      <c r="D152" s="9" t="s">
        <v>569</v>
      </c>
      <c r="E152" s="9" t="s">
        <v>758</v>
      </c>
      <c r="F152" s="9" t="s">
        <v>127</v>
      </c>
      <c r="G152" s="9" t="s">
        <v>570</v>
      </c>
      <c r="H152" s="8">
        <v>44608</v>
      </c>
      <c r="I152" s="9">
        <v>1</v>
      </c>
      <c r="J152" s="13" t="s">
        <v>570</v>
      </c>
      <c r="K152" s="13" t="s">
        <v>571</v>
      </c>
    </row>
    <row r="153" spans="1:11" ht="28" customHeight="1">
      <c r="A153" s="9" t="s">
        <v>572</v>
      </c>
      <c r="B153" s="8">
        <v>44579</v>
      </c>
      <c r="C153" s="9" t="s">
        <v>573</v>
      </c>
      <c r="D153" s="9" t="s">
        <v>579</v>
      </c>
      <c r="E153" s="9" t="s">
        <v>757</v>
      </c>
      <c r="F153" s="9" t="s">
        <v>127</v>
      </c>
      <c r="G153" s="9" t="s">
        <v>580</v>
      </c>
      <c r="H153" s="8">
        <v>44579</v>
      </c>
      <c r="I153" s="9">
        <v>1</v>
      </c>
      <c r="J153" s="13" t="s">
        <v>580</v>
      </c>
      <c r="K153" s="13" t="s">
        <v>581</v>
      </c>
    </row>
    <row r="154" spans="1:11" ht="28" customHeight="1">
      <c r="A154" s="9" t="s">
        <v>572</v>
      </c>
      <c r="B154" s="8">
        <v>44579</v>
      </c>
      <c r="C154" s="9" t="s">
        <v>573</v>
      </c>
      <c r="D154" s="9" t="s">
        <v>577</v>
      </c>
      <c r="E154" s="9" t="s">
        <v>758</v>
      </c>
      <c r="F154" s="9" t="s">
        <v>127</v>
      </c>
      <c r="G154" s="9" t="s">
        <v>636</v>
      </c>
      <c r="H154" s="8">
        <v>44250</v>
      </c>
      <c r="I154" s="9">
        <v>1</v>
      </c>
      <c r="J154" s="13" t="s">
        <v>636</v>
      </c>
      <c r="K154" s="13" t="s">
        <v>581</v>
      </c>
    </row>
    <row r="155" spans="1:11" ht="28" customHeight="1">
      <c r="A155" s="9" t="s">
        <v>582</v>
      </c>
      <c r="B155" s="8">
        <v>44166</v>
      </c>
      <c r="C155" s="9" t="s">
        <v>583</v>
      </c>
      <c r="D155" s="9" t="s">
        <v>588</v>
      </c>
      <c r="E155" s="9" t="s">
        <v>757</v>
      </c>
      <c r="F155" s="9" t="s">
        <v>127</v>
      </c>
      <c r="G155" s="9" t="s">
        <v>589</v>
      </c>
      <c r="H155" s="8">
        <v>44166</v>
      </c>
      <c r="I155" s="9">
        <v>1</v>
      </c>
      <c r="J155" s="13" t="s">
        <v>589</v>
      </c>
      <c r="K155" s="13" t="s">
        <v>590</v>
      </c>
    </row>
    <row r="156" spans="1:11" ht="28" customHeight="1">
      <c r="A156" s="9" t="s">
        <v>582</v>
      </c>
      <c r="B156" s="8">
        <v>44166</v>
      </c>
      <c r="C156" s="9" t="s">
        <v>583</v>
      </c>
      <c r="D156" s="9" t="s">
        <v>586</v>
      </c>
      <c r="E156" s="9" t="s">
        <v>758</v>
      </c>
      <c r="F156" s="9" t="s">
        <v>127</v>
      </c>
      <c r="G156" s="9" t="s">
        <v>637</v>
      </c>
      <c r="H156" s="8">
        <v>43902</v>
      </c>
      <c r="I156" s="9">
        <v>1</v>
      </c>
      <c r="J156" s="13" t="s">
        <v>637</v>
      </c>
      <c r="K156" s="13" t="s">
        <v>590</v>
      </c>
    </row>
    <row r="157" spans="1:11" ht="28" customHeight="1">
      <c r="A157" s="9" t="s">
        <v>591</v>
      </c>
      <c r="B157" s="8">
        <v>44131</v>
      </c>
      <c r="C157" s="9" t="s">
        <v>592</v>
      </c>
      <c r="D157" s="9" t="s">
        <v>597</v>
      </c>
      <c r="E157" s="9" t="s">
        <v>757</v>
      </c>
      <c r="F157" s="9" t="s">
        <v>127</v>
      </c>
      <c r="G157" s="9" t="s">
        <v>598</v>
      </c>
      <c r="H157" s="8">
        <v>44131</v>
      </c>
      <c r="I157" s="9">
        <v>1</v>
      </c>
      <c r="J157" s="13" t="s">
        <v>598</v>
      </c>
      <c r="K157" s="13" t="s">
        <v>599</v>
      </c>
    </row>
    <row r="158" spans="1:11" ht="28" customHeight="1">
      <c r="A158" s="9" t="s">
        <v>591</v>
      </c>
      <c r="B158" s="8">
        <v>44131</v>
      </c>
      <c r="C158" s="9" t="s">
        <v>592</v>
      </c>
      <c r="D158" s="9" t="s">
        <v>595</v>
      </c>
      <c r="E158" s="9" t="s">
        <v>758</v>
      </c>
      <c r="F158" s="9" t="s">
        <v>127</v>
      </c>
      <c r="G158" s="9" t="s">
        <v>638</v>
      </c>
      <c r="H158" s="8">
        <v>43966</v>
      </c>
      <c r="I158" s="9">
        <v>1</v>
      </c>
      <c r="J158" s="13" t="s">
        <v>638</v>
      </c>
      <c r="K158" s="13" t="s">
        <v>599</v>
      </c>
    </row>
    <row r="159" spans="1:11" ht="28" customHeight="1">
      <c r="A159" s="9" t="s">
        <v>600</v>
      </c>
      <c r="B159" s="8">
        <v>43626</v>
      </c>
      <c r="C159" s="9" t="s">
        <v>601</v>
      </c>
      <c r="D159" s="9" t="s">
        <v>588</v>
      </c>
      <c r="E159" s="9" t="s">
        <v>757</v>
      </c>
      <c r="F159" s="9" t="s">
        <v>127</v>
      </c>
      <c r="G159" s="9" t="s">
        <v>605</v>
      </c>
      <c r="H159" s="8">
        <v>43626</v>
      </c>
      <c r="I159" s="9">
        <v>1</v>
      </c>
      <c r="J159" s="13" t="s">
        <v>605</v>
      </c>
      <c r="K159" s="13" t="s">
        <v>606</v>
      </c>
    </row>
    <row r="160" spans="1:11" ht="28" customHeight="1">
      <c r="A160" s="9" t="s">
        <v>600</v>
      </c>
      <c r="B160" s="8">
        <v>43626</v>
      </c>
      <c r="C160" s="9" t="s">
        <v>601</v>
      </c>
      <c r="D160" s="9" t="s">
        <v>603</v>
      </c>
      <c r="E160" s="9" t="s">
        <v>758</v>
      </c>
      <c r="F160" s="9" t="s">
        <v>127</v>
      </c>
      <c r="G160" s="9" t="s">
        <v>639</v>
      </c>
      <c r="H160" s="8">
        <v>43518</v>
      </c>
      <c r="I160" s="9">
        <v>1</v>
      </c>
      <c r="J160" s="13" t="s">
        <v>639</v>
      </c>
      <c r="K160" s="13" t="s">
        <v>606</v>
      </c>
    </row>
    <row r="161" spans="1:11" ht="28" customHeight="1">
      <c r="A161" s="9" t="s">
        <v>607</v>
      </c>
      <c r="B161" s="8">
        <v>43401</v>
      </c>
      <c r="C161" s="9" t="s">
        <v>608</v>
      </c>
      <c r="D161" s="9" t="s">
        <v>613</v>
      </c>
      <c r="E161" s="9" t="s">
        <v>757</v>
      </c>
      <c r="F161" s="9" t="s">
        <v>127</v>
      </c>
      <c r="G161" s="9" t="s">
        <v>614</v>
      </c>
      <c r="H161" s="8">
        <v>43401</v>
      </c>
      <c r="I161" s="9">
        <v>1</v>
      </c>
      <c r="J161" s="13" t="s">
        <v>614</v>
      </c>
      <c r="K161" s="13" t="s">
        <v>615</v>
      </c>
    </row>
    <row r="162" spans="1:11" ht="28" customHeight="1">
      <c r="A162" s="9" t="s">
        <v>607</v>
      </c>
      <c r="B162" s="8">
        <v>43401</v>
      </c>
      <c r="C162" s="9" t="s">
        <v>608</v>
      </c>
      <c r="D162" s="9" t="s">
        <v>611</v>
      </c>
      <c r="E162" s="9" t="s">
        <v>758</v>
      </c>
      <c r="F162" s="9" t="s">
        <v>127</v>
      </c>
      <c r="G162" s="9" t="s">
        <v>640</v>
      </c>
      <c r="H162" s="8">
        <v>43215</v>
      </c>
      <c r="I162" s="9">
        <v>1</v>
      </c>
      <c r="J162" s="13" t="s">
        <v>640</v>
      </c>
      <c r="K162" s="13" t="s">
        <v>615</v>
      </c>
    </row>
    <row r="163" spans="1:11" ht="28" customHeight="1">
      <c r="A163" s="9" t="s">
        <v>616</v>
      </c>
      <c r="B163" s="8">
        <v>42534</v>
      </c>
      <c r="C163" s="9" t="s">
        <v>617</v>
      </c>
      <c r="D163" s="9" t="s">
        <v>579</v>
      </c>
      <c r="E163" s="9" t="s">
        <v>757</v>
      </c>
      <c r="F163" s="9" t="s">
        <v>127</v>
      </c>
      <c r="G163" s="9" t="s">
        <v>621</v>
      </c>
      <c r="H163" s="8">
        <v>42534</v>
      </c>
      <c r="I163" s="9">
        <v>1</v>
      </c>
      <c r="J163" s="13" t="s">
        <v>621</v>
      </c>
      <c r="K163" s="13" t="s">
        <v>622</v>
      </c>
    </row>
    <row r="164" spans="1:11" ht="28" customHeight="1">
      <c r="A164" s="9" t="s">
        <v>616</v>
      </c>
      <c r="B164" s="8">
        <v>42534</v>
      </c>
      <c r="C164" s="9" t="s">
        <v>617</v>
      </c>
      <c r="D164" s="9" t="s">
        <v>619</v>
      </c>
      <c r="E164" s="9" t="s">
        <v>758</v>
      </c>
      <c r="F164" s="9" t="s">
        <v>127</v>
      </c>
      <c r="G164" s="9" t="s">
        <v>641</v>
      </c>
      <c r="H164" s="8">
        <v>42412</v>
      </c>
      <c r="I164" s="9">
        <v>1</v>
      </c>
      <c r="J164" s="13" t="s">
        <v>641</v>
      </c>
      <c r="K164" s="13" t="s">
        <v>622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D124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G127" r:id="rId242"/>
    <hyperlink ref="J127" r:id="rId243"/>
    <hyperlink ref="G128" r:id="rId244"/>
    <hyperlink ref="J128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G132" r:id="rId252"/>
    <hyperlink ref="J132" r:id="rId253"/>
    <hyperlink ref="G133" r:id="rId254"/>
    <hyperlink ref="J133" r:id="rId255"/>
    <hyperlink ref="D134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</hyperlinks>
  <pageMargins left="0.7" right="0.7" top="0.75" bottom="0.75" header="0.3" footer="0.3"/>
  <tableParts count="1">
    <tablePart r:id="rId3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2026-07-20T09:17:22Z</dcterms:created>
  <dcterms:modified xsi:type="dcterms:W3CDTF">2026-07-20T09:17:22Z</dcterms:modified>
</cp:coreProperties>
</file>