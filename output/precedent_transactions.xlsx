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ff338c0aa542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al Dashboard" sheetId="1" r:id="R9d09ec04f80849f2"/>
    <x:sheet xmlns:r="http://schemas.openxmlformats.org/officeDocument/2006/relationships" name="Precedent Transactions" sheetId="2" r:id="R4296237b8f6a4bcc"/>
    <x:sheet xmlns:r="http://schemas.openxmlformats.org/officeDocument/2006/relationships" name="Deal Card" sheetId="3" r:id="R8e757dfe162b4959"/>
    <x:sheet xmlns:r="http://schemas.openxmlformats.org/officeDocument/2006/relationships" name="Sources &amp; QA" sheetId="4" r:id="Rc9032aba90ad4f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;[Red](#,##0);-"/>
    <x:numFmt numFmtId="201" formatCode="0.0x"/>
    <x:numFmt numFmtId="202" formatCode="dd-mmm-yyyy"/>
    <x:numFmt numFmtId="203" formatCode="0.0%;[Red](0.0%);-"/>
    <x:numFmt numFmtId="204" formatCode="0.0x;[Red](0.0x);-"/>
    <x:numFmt numFmtId="205" formatCode="0"/>
  </x:numFmts>
  <x:fonts count="17">
    <x:font>
      <x:sz val="11"/>
      <x:name val="Carlito"/>
    </x:font>
    <x:font>
      <x:b/>
      <x:sz val="18"/>
      <x:color rgb="FFFFFFFF"/>
      <x:name val="Carlito"/>
    </x:font>
    <x:font>
      <x:i/>
      <x:sz val="9"/>
      <x:color rgb="FF52616F"/>
      <x:name val="Carlito"/>
    </x:font>
    <x:font>
      <x:b/>
      <x:sz val="11"/>
      <x:color rgb="FFFFFFFF"/>
      <x:name val="Carlito"/>
    </x:font>
    <x:font>
      <x:b/>
      <x:sz val="9"/>
      <x:color rgb="FFFFFFFF"/>
      <x:name val="Carlito"/>
    </x:font>
    <x:font>
      <x:b/>
      <x:sz val="14"/>
      <x:name val="Carlito"/>
    </x:font>
    <x:font>
      <x:sz val="9"/>
      <x:color rgb="FF7F6000"/>
      <x:name val="Carlito"/>
    </x:font>
    <x:font>
      <x:sz val="9"/>
      <x:color rgb="FF008000"/>
      <x:name val="Carlito"/>
    </x:font>
    <x:font>
      <x:sz val="9"/>
      <x:color rgb="FF000000"/>
      <x:name val="Carlito"/>
    </x:font>
    <x:font>
      <x:b/>
      <x:sz val="11"/>
      <x:color rgb="FF10243E"/>
      <x:name val="Carlito"/>
    </x:font>
    <x:font>
      <x:sz val="11"/>
      <x:color rgb="FF008000"/>
      <x:name val="Carlito"/>
    </x:font>
    <x:font>
      <x:sz val="9"/>
      <x:color rgb="FFC00000"/>
      <x:name val="Carlito"/>
    </x:font>
    <x:font>
      <x:sz val="14"/>
      <x:name val="Carlito"/>
    </x:font>
    <x:font>
      <x:sz val="13"/>
      <x:name val="Carlito"/>
    </x:font>
    <x:font>
      <x:sz val="9"/>
      <x:name val="Carlito"/>
    </x:font>
    <x:font>
      <x:b/>
      <x:sz val="10"/>
      <x:color rgb="FF10243E"/>
      <x:name val="Carlito"/>
    </x:font>
    <x:font>
      <x:sz val="10"/>
      <x:color rgb="FF008000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  <x:fill>
      <x:patternFill patternType="solid">
        <x:fgColor rgb="FF10243E"/>
      </x:patternFill>
    </x:fill>
    <x:fill>
      <x:patternFill patternType="solid">
        <x:fgColor rgb="FFF4F6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E2F0D9"/>
      </x:patternFill>
    </x:fill>
  </x:fills>
  <x:borders count="11">
    <x:border/>
    <x:border>
      <x:left style="thin">
        <x:color rgb="FFCCD5DF"/>
      </x:left>
      <x:top style="thin">
        <x:color rgb="FFCCD5DF"/>
      </x:top>
      <x:bottom style="thin">
        <x:color rgb="FFCCD5DF"/>
      </x:bottom>
    </x:border>
    <x:border>
      <x:top style="thin">
        <x:color rgb="FFCCD5DF"/>
      </x:top>
      <x:bottom style="thin">
        <x:color rgb="FFCCD5DF"/>
      </x:bottom>
    </x:border>
    <x:border>
      <x:right style="thin">
        <x:color rgb="FFCCD5DF"/>
      </x:right>
      <x:top style="thin">
        <x:color rgb="FFCCD5DF"/>
      </x:top>
      <x:bottom style="thin">
        <x:color rgb="FFCCD5DF"/>
      </x:bottom>
    </x:border>
    <x:border>
      <x:bottom style="thin">
        <x:color rgb="FFCCD5DF"/>
      </x:bottom>
    </x:border>
    <x:border>
      <x:top style="thin">
        <x:color rgb="FFCCD5DF"/>
      </x:top>
    </x:border>
    <x:border>
      <x:top style="thin">
        <x:color rgb="FFCCD5DF"/>
      </x:top>
      <x:bottom style="thin">
        <x:color rgb="FFE6EAF0"/>
      </x:bottom>
    </x:border>
    <x:border>
      <x:top style="thin">
        <x:color rgb="FFE6EAF0"/>
      </x:top>
      <x:bottom style="thin">
        <x:color rgb="FFE6EAF0"/>
      </x:bottom>
    </x:border>
    <x:border>
      <x:top style="thin">
        <x:color rgb="FFE6EAF0"/>
      </x:top>
      <x:bottom style="thin">
        <x:color rgb="FFCCD5DF"/>
      </x:bottom>
    </x:border>
    <x:border>
      <x:bottom style="thin">
        <x:color rgb="FFE6EAF0"/>
      </x:bottom>
    </x:border>
    <x:border>
      <x:top style="thin">
        <x:color rgb="FFE6EAF0"/>
      </x:top>
    </x:border>
  </x:borders>
  <x:cellStyleXfs count="1">
    <x:xf numFmtId="0" fontId="0" fillId="0" borderId="0"/>
  </x:cellStyleXfs>
  <x:cellXfs count="18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/>
    </x:xf>
    <x:xf numFmtId="201" fontId="5" fillId="6" borderId="0" xfId="0" applyNumberFormat="1" applyFont="1" applyFill="1" applyBorder="1" applyAlignment="1">
      <x:alignment horizontal="center"/>
    </x:xf>
    <x:xf numFmtId="202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202" fontId="7" fillId="0" borderId="0" xfId="0" applyNumberFormat="1" applyFont="1" applyFill="1" applyBorder="1"/>
    <x:xf numFmtId="200" fontId="7" fillId="0" borderId="0" xfId="0" applyNumberFormat="1" applyFont="1" applyFill="1" applyBorder="1"/>
    <x:xf numFmtId="203" fontId="7" fillId="0" borderId="0" xfId="0" applyNumberFormat="1" applyFont="1" applyFill="1" applyBorder="1"/>
    <x:xf numFmtId="201" fontId="8" fillId="0" borderId="0" xfId="0" applyNumberFormat="1" applyFont="1" applyFill="1" applyBorder="1"/>
    <x:xf numFmtId="0" fontId="9" fillId="3" borderId="0" xfId="0" applyNumberFormat="1" applyFont="1" applyFill="1" applyBorder="1"/>
    <x:xf numFmtId="0" fontId="9" fillId="3" borderId="4" xfId="0" applyNumberFormat="1" applyFont="1" applyFill="1" applyBorder="1"/>
    <x:xf numFmtId="0" fontId="9" fillId="3" borderId="2" xfId="0" applyNumberFormat="1" applyFont="1" applyFill="1" applyBorder="1"/>
    <x:xf numFmtId="0" fontId="9" fillId="3" borderId="5" xfId="0" applyNumberFormat="1" applyFont="1" applyFill="1" applyBorder="1"/>
    <x:xf numFmtId="0" fontId="10" fillId="0" borderId="0" xfId="0" applyNumberFormat="1" applyFont="1" applyFill="1" applyBorder="1"/>
    <x:xf numFmtId="0" fontId="10" fillId="0" borderId="4" xfId="0" applyNumberFormat="1" applyFont="1" applyFill="1" applyBorder="1"/>
    <x:xf numFmtId="0" fontId="10" fillId="0" borderId="2" xfId="0" applyNumberFormat="1" applyFont="1" applyFill="1" applyBorder="1"/>
    <x:xf numFmtId="0" fontId="10" fillId="0" borderId="5" xfId="0" applyNumberFormat="1" applyFont="1" applyFill="1" applyBorder="1"/>
    <x:xf numFmtId="0" fontId="10" fillId="0" borderId="4" xfId="0" applyNumberFormat="1" applyFont="1" applyFill="1" applyBorder="1" applyAlignment="1">
      <x:alignment wrapText="1"/>
    </x:xf>
    <x:xf numFmtId="0" fontId="10" fillId="0" borderId="2" xfId="0" applyNumberFormat="1" applyFont="1" applyFill="1" applyBorder="1" applyAlignment="1">
      <x:alignment wrapText="1"/>
    </x:xf>
    <x:xf numFmtId="0" fontId="10" fillId="0" borderId="5" xfId="0" applyNumberFormat="1" applyFont="1" applyFill="1" applyBorder="1" applyAlignment="1">
      <x:alignment wrapText="1"/>
    </x:xf>
    <x:xf numFmtId="202" fontId="10" fillId="0" borderId="2" xfId="0" applyNumberFormat="1" applyFont="1" applyFill="1" applyBorder="1" applyAlignment="1">
      <x:alignment wrapText="1"/>
    </x:xf>
    <x:xf numFmtId="200" fontId="10" fillId="0" borderId="2" xfId="0" applyNumberFormat="1" applyFont="1" applyFill="1" applyBorder="1" applyAlignment="1">
      <x:alignment wrapText="1"/>
    </x:xf>
    <x:xf numFmtId="203" fontId="10" fillId="0" borderId="2" xfId="0" applyNumberFormat="1" applyFont="1" applyFill="1" applyBorder="1" applyAlignment="1">
      <x:alignment wrapText="1"/>
    </x:xf>
    <x:xf numFmtId="201" fontId="10" fillId="0" borderId="2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0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0" xfId="0" applyNumberFormat="1" applyFont="1" applyFill="1" applyBorder="1" applyAlignment="1">
      <x:alignment wrapText="1"/>
    </x:xf>
    <x:xf numFmtId="0" fontId="4" fillId="8" borderId="0" xfId="0" applyNumberFormat="1" applyFont="1" applyFill="1" applyBorder="1"/>
    <x:xf numFmtId="0" fontId="4" fillId="8" borderId="2" xfId="0" applyNumberFormat="1" applyFont="1" applyFill="1" applyBorder="1"/>
    <x:xf numFmtId="0" fontId="4" fillId="8" borderId="2" xfId="0" applyNumberFormat="1" applyFont="1" applyFill="1" applyBorder="1" applyAlignment="1">
      <x:alignment wrapText="1"/>
    </x:xf>
    <x:xf numFmtId="0" fontId="4" fillId="8" borderId="2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top"/>
    </x:xf>
    <x:xf numFmtId="202" fontId="7" fillId="0" borderId="0" xfId="0" applyNumberFormat="1" applyFont="1" applyFill="1" applyBorder="1" applyAlignment="1">
      <x:alignment vertical="top"/>
    </x:xf>
    <x:xf numFmtId="200" fontId="7" fillId="0" borderId="0" xfId="0" applyNumberFormat="1" applyFont="1" applyFill="1" applyBorder="1" applyAlignment="1">
      <x:alignment vertical="top"/>
    </x:xf>
    <x:xf numFmtId="203" fontId="7" fillId="0" borderId="0" xfId="0" applyNumberFormat="1" applyFont="1" applyFill="1" applyBorder="1" applyAlignment="1">
      <x:alignment vertical="top"/>
    </x:xf>
    <x:xf numFmtId="204" fontId="7" fillId="0" borderId="0" xfId="0" applyNumberFormat="1" applyFont="1" applyFill="1" applyBorder="1" applyAlignment="1">
      <x:alignment vertical="top"/>
    </x:xf>
    <x:xf numFmtId="205" fontId="7" fillId="0" borderId="0" xfId="0" applyNumberFormat="1" applyFont="1" applyFill="1" applyBorder="1" applyAlignment="1">
      <x:alignment vertical="top"/>
    </x:xf>
    <x:xf numFmtId="0" fontId="11" fillId="0" borderId="0" xfId="0" applyNumberFormat="1" applyFont="1" applyFill="1" applyBorder="1" applyAlignment="1">
      <x:alignment vertical="top"/>
    </x:xf>
    <x:xf numFmtId="0" fontId="7" fillId="0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4" fillId="8" borderId="6" xfId="0" applyNumberFormat="1" applyFont="1" applyFill="1" applyBorder="1" applyAlignment="1">
      <x:alignment vertical="center" wrapText="1"/>
    </x:xf>
    <x:xf numFmtId="0" fontId="7" fillId="0" borderId="7" xfId="0" applyNumberFormat="1" applyFont="1" applyFill="1" applyBorder="1" applyAlignment="1">
      <x:alignment vertical="top"/>
    </x:xf>
    <x:xf numFmtId="202" fontId="7" fillId="0" borderId="7" xfId="0" applyNumberFormat="1" applyFont="1" applyFill="1" applyBorder="1" applyAlignment="1">
      <x:alignment vertical="top"/>
    </x:xf>
    <x:xf numFmtId="205" fontId="7" fillId="0" borderId="7" xfId="0" applyNumberFormat="1" applyFont="1" applyFill="1" applyBorder="1" applyAlignment="1">
      <x:alignment vertical="top"/>
    </x:xf>
    <x:xf numFmtId="0" fontId="7" fillId="0" borderId="7" xfId="0" applyNumberFormat="1" applyFont="1" applyFill="1" applyBorder="1" applyAlignment="1">
      <x:alignment vertical="top" wrapText="1"/>
    </x:xf>
    <x:xf numFmtId="200" fontId="7" fillId="0" borderId="7" xfId="0" applyNumberFormat="1" applyFont="1" applyFill="1" applyBorder="1" applyAlignment="1">
      <x:alignment vertical="top"/>
    </x:xf>
    <x:xf numFmtId="203" fontId="7" fillId="0" borderId="7" xfId="0" applyNumberFormat="1" applyFont="1" applyFill="1" applyBorder="1" applyAlignment="1">
      <x:alignment vertical="top"/>
    </x:xf>
    <x:xf numFmtId="204" fontId="7" fillId="0" borderId="7" xfId="0" applyNumberFormat="1" applyFont="1" applyFill="1" applyBorder="1" applyAlignment="1">
      <x:alignment vertical="top"/>
    </x:xf>
    <x:xf numFmtId="0" fontId="11" fillId="0" borderId="7" xfId="0" applyNumberFormat="1" applyFont="1" applyFill="1" applyBorder="1" applyAlignment="1">
      <x:alignment vertical="top"/>
    </x:xf>
    <x:xf numFmtId="0" fontId="11" fillId="0" borderId="7" xfId="0" applyNumberFormat="1" applyFont="1" applyFill="1" applyBorder="1" applyAlignment="1">
      <x:alignment vertical="top" wrapText="1"/>
    </x:xf>
    <x:xf numFmtId="0" fontId="7" fillId="0" borderId="8" xfId="0" applyNumberFormat="1" applyFont="1" applyFill="1" applyBorder="1" applyAlignment="1">
      <x:alignment vertical="top"/>
    </x:xf>
    <x:xf numFmtId="202" fontId="7" fillId="0" borderId="8" xfId="0" applyNumberFormat="1" applyFont="1" applyFill="1" applyBorder="1" applyAlignment="1">
      <x:alignment vertical="top"/>
    </x:xf>
    <x:xf numFmtId="205" fontId="7" fillId="0" borderId="8" xfId="0" applyNumberFormat="1" applyFont="1" applyFill="1" applyBorder="1" applyAlignment="1">
      <x:alignment vertical="top"/>
    </x:xf>
    <x:xf numFmtId="0" fontId="7" fillId="0" borderId="8" xfId="0" applyNumberFormat="1" applyFont="1" applyFill="1" applyBorder="1" applyAlignment="1">
      <x:alignment vertical="top" wrapText="1"/>
    </x:xf>
    <x:xf numFmtId="200" fontId="7" fillId="0" borderId="8" xfId="0" applyNumberFormat="1" applyFont="1" applyFill="1" applyBorder="1" applyAlignment="1">
      <x:alignment vertical="top"/>
    </x:xf>
    <x:xf numFmtId="203" fontId="7" fillId="0" borderId="8" xfId="0" applyNumberFormat="1" applyFont="1" applyFill="1" applyBorder="1" applyAlignment="1">
      <x:alignment vertical="top"/>
    </x:xf>
    <x:xf numFmtId="204" fontId="7" fillId="0" borderId="8" xfId="0" applyNumberFormat="1" applyFont="1" applyFill="1" applyBorder="1" applyAlignment="1">
      <x:alignment vertical="top"/>
    </x:xf>
    <x:xf numFmtId="0" fontId="11" fillId="0" borderId="8" xfId="0" applyNumberFormat="1" applyFont="1" applyFill="1" applyBorder="1" applyAlignment="1">
      <x:alignment vertical="top"/>
    </x:xf>
    <x:xf numFmtId="0" fontId="11" fillId="0" borderId="8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center"/>
    </x:xf>
    <x:xf numFmtId="200" fontId="12" fillId="12" borderId="0" xfId="0" applyNumberFormat="1" applyFont="1" applyFill="1" applyBorder="1" applyAlignment="1">
      <x:alignment horizontal="center"/>
    </x:xf>
    <x:xf numFmtId="0" fontId="0" fillId="13" borderId="0" xfId="0" applyNumberFormat="1" applyFont="1" applyFill="1" applyBorder="1"/>
    <x:xf numFmtId="0" fontId="13" fillId="13" borderId="0" xfId="0" applyNumberFormat="1" applyFont="1" applyFill="1" applyBorder="1"/>
    <x:xf numFmtId="0" fontId="13" fillId="13" borderId="0" xfId="0" applyNumberFormat="1" applyFont="1" applyFill="1" applyBorder="1" applyAlignment="1">
      <x:alignment horizontal="center"/>
    </x:xf>
    <x:xf numFmtId="204" fontId="13" fillId="13" borderId="0" xfId="0" applyNumberFormat="1" applyFont="1" applyFill="1" applyBorder="1" applyAlignment="1">
      <x:alignment horizontal="center"/>
    </x:xf>
    <x:xf numFmtId="0" fontId="14" fillId="0" borderId="0" xfId="0" applyNumberFormat="1" applyFont="1" applyFill="1" applyBorder="1"/>
    <x:xf numFmtId="0" fontId="14" fillId="0" borderId="4" xfId="0" applyNumberFormat="1" applyFont="1" applyFill="1" applyBorder="1"/>
    <x:xf numFmtId="0" fontId="14" fillId="0" borderId="2" xfId="0" applyNumberFormat="1" applyFont="1" applyFill="1" applyBorder="1"/>
    <x:xf numFmtId="0" fontId="14" fillId="0" borderId="5" xfId="0" applyNumberFormat="1" applyFont="1" applyFill="1" applyBorder="1"/>
    <x:xf numFmtId="0" fontId="14" fillId="0" borderId="4" xfId="0" applyNumberFormat="1" applyFont="1" applyFill="1" applyBorder="1" applyAlignment="1">
      <x:alignment vertical="top"/>
    </x:xf>
    <x:xf numFmtId="0" fontId="14" fillId="0" borderId="2" xfId="0" applyNumberFormat="1" applyFont="1" applyFill="1" applyBorder="1" applyAlignment="1">
      <x:alignment vertical="top"/>
    </x:xf>
    <x:xf numFmtId="0" fontId="14" fillId="0" borderId="5" xfId="0" applyNumberFormat="1" applyFont="1" applyFill="1" applyBorder="1" applyAlignment="1">
      <x:alignment vertical="top"/>
    </x:xf>
    <x:xf numFmtId="202" fontId="14" fillId="0" borderId="4" xfId="0" applyNumberFormat="1" applyFont="1" applyFill="1" applyBorder="1" applyAlignment="1">
      <x:alignment vertical="top"/>
    </x:xf>
    <x:xf numFmtId="202" fontId="14" fillId="0" borderId="2" xfId="0" applyNumberFormat="1" applyFont="1" applyFill="1" applyBorder="1" applyAlignment="1">
      <x:alignment vertical="top"/>
    </x:xf>
    <x:xf numFmtId="202" fontId="14" fillId="0" borderId="5" xfId="0" applyNumberFormat="1" applyFont="1" applyFill="1" applyBorder="1" applyAlignment="1">
      <x:alignment vertical="top"/>
    </x:xf>
    <x:xf numFmtId="200" fontId="14" fillId="0" borderId="4" xfId="0" applyNumberFormat="1" applyFont="1" applyFill="1" applyBorder="1" applyAlignment="1">
      <x:alignment vertical="top"/>
    </x:xf>
    <x:xf numFmtId="200" fontId="14" fillId="0" borderId="2" xfId="0" applyNumberFormat="1" applyFont="1" applyFill="1" applyBorder="1" applyAlignment="1">
      <x:alignment vertical="top"/>
    </x:xf>
    <x:xf numFmtId="200" fontId="14" fillId="0" borderId="5" xfId="0" applyNumberFormat="1" applyFont="1" applyFill="1" applyBorder="1" applyAlignment="1">
      <x:alignment vertical="top"/>
    </x:xf>
    <x:xf numFmtId="0" fontId="14" fillId="0" borderId="4" xfId="0" applyNumberFormat="1" applyFont="1" applyFill="1" applyBorder="1" applyAlignment="1">
      <x:alignment vertical="top" wrapText="1"/>
    </x:xf>
    <x:xf numFmtId="0" fontId="14" fillId="0" borderId="2" xfId="0" applyNumberFormat="1" applyFont="1" applyFill="1" applyBorder="1" applyAlignment="1">
      <x:alignment vertical="top" wrapText="1"/>
    </x:xf>
    <x:xf numFmtId="0" fontId="14" fillId="0" borderId="5" xfId="0" applyNumberFormat="1" applyFont="1" applyFill="1" applyBorder="1" applyAlignment="1">
      <x:alignment vertical="top" wrapText="1"/>
    </x:xf>
    <x:xf numFmtId="0" fontId="15" fillId="9" borderId="0" xfId="0" applyNumberFormat="1" applyFont="1" applyFill="1" applyBorder="1"/>
    <x:xf numFmtId="0" fontId="15" fillId="9" xfId="0" applyNumberFormat="1" applyFont="1" applyFill="1" applyBorder="0"/>
    <x:xf numFmtId="0" fontId="15" fillId="9" borderId="4" xfId="0" applyNumberFormat="1" applyFont="1" applyFill="1" applyBorder="1"/>
    <x:xf numFmtId="0" fontId="16" fillId="0" borderId="0" xfId="0" applyNumberFormat="1" applyFont="1" applyFill="1" applyBorder="1"/>
    <x:xf numFmtId="0" fontId="16" fillId="0" xfId="0" applyNumberFormat="1" applyFont="1" applyFill="1" applyBorder="0"/>
    <x:xf numFmtId="0" fontId="16" fillId="0" borderId="4" xfId="0" applyNumberFormat="1" applyFont="1" applyFill="1" applyBorder="1"/>
    <x:xf numFmtId="0" fontId="16" fillId="0" xfId="0" applyNumberFormat="1" applyFont="1" applyFill="1" applyBorder="0" applyAlignment="1">
      <x:alignment wrapText="1"/>
    </x:xf>
    <x:xf numFmtId="0" fontId="16" fillId="0" borderId="4" xfId="0" applyNumberFormat="1" applyFont="1" applyFill="1" applyBorder="1" applyAlignment="1">
      <x:alignment wrapText="1"/>
    </x:xf>
    <x:xf numFmtId="202" fontId="16" fillId="0" xfId="0" applyNumberFormat="1" applyFont="1" applyFill="1" applyBorder="0" applyAlignment="1">
      <x:alignment wrapText="1"/>
    </x:xf>
    <x:xf numFmtId="200" fontId="16" fillId="0" xfId="0" applyNumberFormat="1" applyFont="1" applyFill="1" applyBorder="0" applyAlignment="1">
      <x:alignment wrapText="1"/>
    </x:xf>
    <x:xf numFmtId="203" fontId="16" fillId="0" xfId="0" applyNumberFormat="1" applyFont="1" applyFill="1" applyBorder="0" applyAlignment="1">
      <x:alignment wrapText="1"/>
    </x:xf>
    <x:xf numFmtId="204" fontId="16" fillId="0" xfId="0" applyNumberFormat="1" applyFont="1" applyFill="1" applyBorder="0" applyAlignment="1">
      <x:alignment wrapText="1"/>
    </x:xf>
    <x:xf numFmtId="0" fontId="11" fillId="0" borderId="4" xfId="0" applyNumberFormat="1" applyFont="1" applyFill="1" applyBorder="1" applyAlignment="1">
      <x:alignment wrapText="1"/>
    </x:xf>
    <x:xf numFmtId="0" fontId="7" fillId="0" borderId="9" xfId="0" applyNumberFormat="1" applyFont="1" applyFill="1" applyBorder="1"/>
    <x:xf numFmtId="0" fontId="7" fillId="0" borderId="7" xfId="0" applyNumberFormat="1" applyFont="1" applyFill="1" applyBorder="1"/>
    <x:xf numFmtId="0" fontId="7" fillId="0" borderId="10" xfId="0" applyNumberFormat="1" applyFont="1" applyFill="1" applyBorder="1"/>
    <x:xf numFmtId="0" fontId="7" fillId="0" borderId="9" xfId="0" applyNumberFormat="1" applyFont="1" applyFill="1" applyBorder="1" applyAlignment="1">
      <x:alignment vertical="top"/>
    </x:xf>
    <x:xf numFmtId="0" fontId="7" fillId="0" borderId="10" xfId="0" applyNumberFormat="1" applyFont="1" applyFill="1" applyBorder="1" applyAlignment="1">
      <x:alignment vertical="top"/>
    </x:xf>
    <x:xf numFmtId="202" fontId="7" fillId="0" borderId="9" xfId="0" applyNumberFormat="1" applyFont="1" applyFill="1" applyBorder="1" applyAlignment="1">
      <x:alignment vertical="top"/>
    </x:xf>
    <x:xf numFmtId="202" fontId="7" fillId="0" borderId="10" xfId="0" applyNumberFormat="1" applyFont="1" applyFill="1" applyBorder="1" applyAlignment="1">
      <x:alignment vertical="top"/>
    </x:xf>
    <x:xf numFmtId="205" fontId="7" fillId="0" borderId="9" xfId="0" applyNumberFormat="1" applyFont="1" applyFill="1" applyBorder="1" applyAlignment="1">
      <x:alignment vertical="top"/>
    </x:xf>
    <x:xf numFmtId="205" fontId="7" fillId="0" borderId="10" xfId="0" applyNumberFormat="1" applyFont="1" applyFill="1" applyBorder="1" applyAlignment="1">
      <x:alignment vertical="top"/>
    </x:xf>
    <x:xf numFmtId="0" fontId="11" fillId="0" borderId="9" xfId="0" applyNumberFormat="1" applyFont="1" applyFill="1" applyBorder="1" applyAlignment="1">
      <x:alignment vertical="top"/>
    </x:xf>
    <x:xf numFmtId="0" fontId="11" fillId="0" borderId="10" xfId="0" applyNumberFormat="1" applyFont="1" applyFill="1" applyBorder="1" applyAlignment="1">
      <x:alignment vertical="top"/>
    </x:xf>
    <x:xf numFmtId="0" fontId="11" fillId="0" borderId="9" xfId="0" applyNumberFormat="1" applyFont="1" applyFill="1" applyBorder="1" applyAlignment="1">
      <x:alignment vertical="top" wrapText="1"/>
    </x:xf>
    <x:xf numFmtId="0" fontId="11" fillId="0" borderId="10" xfId="0" applyNumberFormat="1" applyFont="1" applyFill="1" applyBorder="1" applyAlignment="1">
      <x:alignment vertical="top" wrapText="1"/>
    </x:xf>
    <x:xf numFmtId="0" fontId="7" fillId="0" borderId="9" xfId="0" applyNumberFormat="1" applyFont="1" applyFill="1" applyBorder="1" applyAlignment="1">
      <x:alignment vertical="top" wrapText="1"/>
    </x:xf>
    <x:xf numFmtId="0" fontId="7" fillId="0" borderId="10" xfId="0" applyNumberFormat="1" applyFont="1" applyFill="1" applyBorder="1" applyAlignment="1">
      <x:alignment vertical="top" wrapText="1"/>
    </x:xf>
    <x:xf numFmtId="0" fontId="14" fillId="0" borderId="4" xfId="0" applyNumberFormat="1" applyFont="1" applyFill="1" applyBorder="1" applyAlignment="1">
      <x:alignment wrapText="1"/>
    </x:xf>
    <x:xf numFmtId="0" fontId="14" fillId="0" borderId="2" xfId="0" applyNumberFormat="1" applyFont="1" applyFill="1" applyBorder="1" applyAlignment="1">
      <x:alignment wrapText="1"/>
    </x:xf>
    <x:xf numFmtId="0" fontId="14" fillId="0" borderId="5" xfId="0" applyNumberFormat="1" applyFont="1" applyFill="1" applyBorder="1" applyAlignment="1">
      <x:alignment wrapText="1"/>
    </x:xf>
    <x:xf numFmtId="0" fontId="3" fillId="8" borderId="0" xfId="0" applyNumberFormat="1" applyFont="1" applyFill="1" applyBorder="1"/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0" fillId="15" borderId="0" xfId="0" applyNumberFormat="1" applyFont="1" applyFill="1" applyBorder="1"/>
    <x:xf numFmtId="0" fontId="2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6" fillId="16" borderId="0" xfId="0" applyNumberFormat="1" applyFont="1" applyFill="1" applyBorder="1" applyAlignment="1">
      <x:alignment wrapText="1"/>
    </x:xf>
    <x:xf numFmtId="0" fontId="4" fillId="14" borderId="0" xfId="0" applyNumberFormat="1" applyFont="1" applyFill="1" applyBorder="1"/>
    <x:xf numFmtId="0" fontId="4" fillId="14" borderId="2" xfId="0" applyNumberFormat="1" applyFont="1" applyFill="1" applyBorder="1"/>
    <x:xf numFmtId="0" fontId="4" fillId="14" borderId="2" xfId="0" applyNumberFormat="1" applyFont="1" applyFill="1" applyBorder="1" applyAlignment="1">
      <x:alignment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6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3" fillId="17" borderId="0" xfId="0" applyNumberFormat="1" applyFont="1" applyFill="1" applyBorder="1"/>
    <x:xf numFmtId="0" fontId="0" fillId="18" borderId="0" xfId="0" applyNumberFormat="1" applyFont="1" applyFill="1" applyBorder="1"/>
    <x:xf numFmtId="0" fontId="12" fillId="18" borderId="0" xfId="0" applyNumberFormat="1" applyFont="1" applyFill="1" applyBorder="1"/>
    <x:xf numFmtId="0" fontId="12" fillId="18" borderId="0" xfId="0" applyNumberFormat="1" applyFont="1" applyFill="1" applyBorder="1" applyAlignment="1">
      <x:alignment horizontal="center"/>
    </x:xf>
    <x:xf numFmtId="200" fontId="12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3" fillId="19" borderId="0" xfId="0" applyNumberFormat="1" applyFont="1" applyFill="1" applyBorder="1"/>
    <x:xf numFmtId="0" fontId="13" fillId="19" borderId="0" xfId="0" applyNumberFormat="1" applyFont="1" applyFill="1" applyBorder="1" applyAlignment="1">
      <x:alignment horizontal="center"/>
    </x:xf>
    <x:xf numFmtId="204" fontId="13" fillId="19" borderId="0" xfId="0" applyNumberFormat="1" applyFont="1" applyFill="1" applyBorder="1" applyAlignment="1">
      <x:alignment horizontal="center"/>
    </x:xf>
    <x:xf numFmtId="0" fontId="15" fillId="15" borderId="0" xfId="0" applyNumberFormat="1" applyFont="1" applyFill="1" applyBorder="1"/>
    <x:xf numFmtId="0" fontId="15" fillId="15" xfId="0" applyNumberFormat="1" applyFont="1" applyFill="1" applyBorder="0"/>
    <x:xf numFmtId="0" fontId="15" fillId="15" borderId="4" xfId="0" applyNumberFormat="1" applyFont="1" applyFill="1" applyBorder="1"/>
    <x:xf numFmtId="0" fontId="3" fillId="14" borderId="0" xfId="0" applyNumberFormat="1" applyFont="1" applyFill="1" applyBorder="1"/>
  </x:cellXfs>
  <x:cellStyles count="1">
    <x:cellStyle name="Normal" xfId="0"/>
  </x:cellStyles>
  <x:dxfs count="34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3468cce06ea4ac9" /><Relationship Type="http://schemas.openxmlformats.org/officeDocument/2006/relationships/theme" Target="/xl/theme/theme1.xml" Id="R6ed9136c8a5d4bee" /><Relationship Type="http://schemas.openxmlformats.org/officeDocument/2006/relationships/sharedStrings" Target="/xl/sharedStrings.xml" Id="R6ddcc42baa1f4def" /><Relationship Type="http://schemas.openxmlformats.org/officeDocument/2006/relationships/worksheet" Target="/xl/worksheets/sheet1.xml" Id="R9d09ec04f80849f2" /><Relationship Type="http://schemas.openxmlformats.org/officeDocument/2006/relationships/worksheet" Target="/xl/worksheets/sheet2.xml" Id="R4296237b8f6a4bcc" /><Relationship Type="http://schemas.openxmlformats.org/officeDocument/2006/relationships/worksheet" Target="/xl/worksheets/sheet3.xml" Id="R8e757dfe162b4959" /><Relationship Type="http://schemas.openxmlformats.org/officeDocument/2006/relationships/worksheet" Target="/xl/worksheets/sheet4.xml" Id="Rc9032aba90ad4f9a" /></Relationships>
</file>

<file path=xl/tables/table1.xml><?xml version="1.0" encoding="utf-8"?>
<x:table xmlns:x="http://schemas.openxmlformats.org/spreadsheetml/2006/main" id="2" name="TopDealsTable" displayName="TopDealsTable" ref="A18:J28" headerRowCount="1">
  <x:tableColumns count="10">
    <x:tableColumn id="1" name="Date"/>
    <x:tableColumn id="2" name="Type"/>
    <x:tableColumn id="3" name="Status"/>
    <x:tableColumn id="4" name="Quality"/>
    <x:tableColumn id="5" name="Target / Issuer"/>
    <x:tableColumn id="6" name="Acquirer / Investor"/>
    <x:tableColumn id="7" name="Value"/>
    <x:tableColumn id="8" name="Currency"/>
    <x:tableColumn id="9" name="Sources"/>
    <x:tableColumn id="10" name="Headline"/>
  </x:tableColumns>
  <x:tableStyleInfo name="TableStyleMedium2" showRowStripes="1"/>
</x:table>
</file>

<file path=xl/tables/table2.xml><?xml version="1.0" encoding="utf-8"?>
<x:table xmlns:x="http://schemas.openxmlformats.org/spreadsheetml/2006/main" id="1" name="PrecedentTable" displayName="PrecedentTable" ref="A6:AK49" headerRowCount="1">
  <x:tableColumns count="37">
    <x:tableColumn id="1" name="Deal ID"/>
    <x:tableColumn id="2" name="Announced Date"/>
    <x:tableColumn id="3" name="Type"/>
    <x:tableColumn id="4" name="Status"/>
    <x:tableColumn id="5" name="Quality Status"/>
    <x:tableColumn id="6" name="Quality Score"/>
    <x:tableColumn id="7" name="Quality Flags"/>
    <x:tableColumn id="8" name="Target / Issuer"/>
    <x:tableColumn id="9" name="Acquirer / Investor"/>
    <x:tableColumn id="10" name="Sector"/>
    <x:tableColumn id="11" name="Geography"/>
    <x:tableColumn id="12" name="Transaction Value"/>
    <x:tableColumn id="13" name="Enterprise Value"/>
    <x:tableColumn id="14" name="Currency"/>
    <x:tableColumn id="15" name="Stake %"/>
    <x:tableColumn id="16" name="Payment Form"/>
    <x:tableColumn id="17" name="Advisors"/>
    <x:tableColumn id="18" name="Revenue LTM"/>
    <x:tableColumn id="19" name="EBITDA LTM"/>
    <x:tableColumn id="20" name="Financials As Of"/>
    <x:tableColumn id="21" name="Financials Currency"/>
    <x:tableColumn id="22" name="EV / Revenue"/>
    <x:tableColumn id="23" name="EV / EBITDA"/>
    <x:tableColumn id="24" name="Instrument"/>
    <x:tableColumn id="25" name="Rationale"/>
    <x:tableColumn id="26" name="Signal Score"/>
    <x:tableColumn id="27" name="Evidence"/>
    <x:tableColumn id="28" name="Coverage"/>
    <x:tableColumn id="29" name="Source Count"/>
    <x:tableColumn id="30" name="Primary Source"/>
    <x:tableColumn id="31" name="Primary URL"/>
    <x:tableColumn id="32" name="All Source Names"/>
    <x:tableColumn id="33" name="All Source URLs"/>
    <x:tableColumn id="34" name="Headline"/>
    <x:tableColumn id="35" name="First Seen"/>
    <x:tableColumn id="36" name="Last Seen"/>
    <x:tableColumn id="37" name="Notes"/>
  </x:tableColumns>
  <x:tableStyleInfo name="TableStyleMedium2" showRowStripes="1"/>
</x:table>
</file>

<file path=xl/tables/table3.xml><?xml version="1.0" encoding="utf-8"?>
<x:table xmlns:x="http://schemas.openxmlformats.org/spreadsheetml/2006/main" id="3" name="SourcesTable" displayName="SourcesTable" ref="A6:J60" headerRowCount="1">
  <x:tableColumns count="10">
    <x:tableColumn id="1" name="Deal ID"/>
    <x:tableColumn id="2" name="Date"/>
    <x:tableColumn id="3" name="Source"/>
    <x:tableColumn id="4" name="URL"/>
    <x:tableColumn id="5" name="Evidence"/>
    <x:tableColumn id="6" name="Source Type"/>
    <x:tableColumn id="7" name="Deal Status"/>
    <x:tableColumn id="8" name="Quality Status"/>
    <x:tableColumn id="9" name="Quality Score"/>
    <x:tableColumn id="10" name="Headlin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b8a25490bff4f5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124a220860042a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b6f14f91f0946b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9" hidden="0" customWidth="1"/>
    <x:col min="3" max="3" width="13" hidden="0" customWidth="1"/>
    <x:col min="4" max="4" width="13" hidden="0" customWidth="1"/>
    <x:col min="5" max="5" width="20" hidden="0" customWidth="1"/>
    <x:col min="6" max="6" width="20" hidden="0" customWidth="1"/>
    <x:col min="7" max="7" width="16" hidden="0" customWidth="1"/>
    <x:col min="8" max="8" width="12" hidden="0" customWidth="1"/>
    <x:col min="9" max="9" width="18" hidden="0" customWidth="1"/>
    <x:col min="10" max="10" width="52" hidden="0" customWidth="1"/>
  </x:cols>
  <x:sheetData>
    <x:row r="1" ht="28" customHeight="1">
      <x:c r="A1" s="164" t="str">
        <x:v>DEAL MARKETS COPILOT — QUALITY-CONTROLLED PRECEDENTS</x:v>
      </x:c>
      <x:c r="B1" s="164"/>
      <x:c r="C1" s="164"/>
      <x:c r="D1" s="164"/>
      <x:c r="E1" s="164"/>
      <x:c r="F1" s="164"/>
      <x:c r="G1" s="164"/>
      <x:c r="H1" s="164"/>
      <x:c r="I1" s="164"/>
      <x:c r="J1" s="164"/>
    </x:row>
    <x:row r="2" ht="25" customHeight="1">
      <x:c r="A2" s="166" t="str">
        <x:v>As of 2026-06-29 | Approved rows can enter Top 10; review rows carry visible warnings; rejected rows stay in audit only</x:v>
      </x:c>
      <x:c r="B2" s="166"/>
      <x:c r="C2" s="166"/>
      <x:c r="D2" s="166"/>
      <x:c r="E2" s="166"/>
      <x:c r="F2" s="166"/>
      <x:c r="G2" s="166"/>
      <x:c r="H2" s="166"/>
      <x:c r="I2" s="166"/>
      <x:c r="J2" s="166"/>
    </x:row>
    <x:row r="4" ht="22" customHeight="1">
      <x:c r="A4" s="176" t="str">
        <x:v>DATABASE SNAPSHOT</x:v>
      </x:c>
      <x:c r="B4" s="176"/>
      <x:c r="C4" s="176"/>
      <x:c r="D4" s="176"/>
      <x:c r="E4" s="176"/>
      <x:c r="F4" s="176"/>
      <x:c r="G4" s="176"/>
      <x:c r="H4" s="176"/>
      <x:c r="I4" s="176"/>
      <x:c r="J4" s="176"/>
    </x:row>
    <x:row r="6" ht="32" customHeight="1">
      <x:c r="A6" s="173" t="str">
        <x:v>Total deals</x:v>
      </x:c>
      <x:c r="B6" s="173" t="str">
        <x:v>M&amp;A</x:v>
      </x:c>
      <x:c r="C6" s="173" t="str">
        <x:v>ECM</x:v>
      </x:c>
      <x:c r="D6" s="173" t="str">
        <x:v>DCM</x:v>
      </x:c>
      <x:c r="E6" s="173" t="str">
        <x:v>Approved</x:v>
      </x:c>
      <x:c r="F6" s="173" t="str">
        <x:v>Review</x:v>
      </x:c>
      <x:c r="G6" s="173" t="str">
        <x:v>Rejected</x:v>
      </x:c>
      <x:c r="H6" s="173" t="str">
        <x:v>Multi-source</x:v>
      </x:c>
      <x:c r="I6" s="173" t="str">
        <x:v>Disclosed value</x:v>
      </x:c>
      <x:c r="J6" s="173" t="str">
        <x:v>QA status</x:v>
      </x:c>
    </x:row>
    <x:row r="7" ht="30" customHeight="1">
      <x:c r="A7" s="179" t="n">
        <x:f>COUNTA('Precedent Transactions'!$A$7:$A$49)</x:f>
        <x:v>43</x:v>
      </x:c>
      <x:c r="B7" s="179" t="n">
        <x:f>COUNTIF('Precedent Transactions'!$C$7:$C$49,"M&amp;A")</x:f>
        <x:v>13</x:v>
      </x:c>
      <x:c r="C7" s="179" t="n">
        <x:f>COUNTIF('Precedent Transactions'!$C$7:$C$49,"ECM")</x:f>
        <x:v>5</x:v>
      </x:c>
      <x:c r="D7" s="179" t="n">
        <x:f>COUNTIF('Precedent Transactions'!$C$7:$C$49,"DCM")</x:f>
        <x:v>25</x:v>
      </x:c>
      <x:c r="E7" s="179" t="n">
        <x:f>COUNTIF('Precedent Transactions'!$E$7:$E$49,"approved")</x:f>
        <x:v>13</x:v>
      </x:c>
      <x:c r="F7" s="179" t="n">
        <x:f>COUNTIF('Precedent Transactions'!$E$7:$E$49,"review")</x:f>
        <x:v>14</x:v>
      </x:c>
      <x:c r="G7" s="179" t="n">
        <x:f>COUNTIF('Precedent Transactions'!$E$7:$E$49,"rejected")</x:f>
        <x:v>16</x:v>
      </x:c>
      <x:c r="H7" s="179" t="n">
        <x:f>COUNTIF('Precedent Transactions'!$AC$7:$AC$49,"&gt;1")</x:f>
        <x:v>4</x:v>
      </x:c>
      <x:c r="I7" s="180" t="n">
        <x:f>SUM('Precedent Transactions'!$L$7:$L$49)</x:f>
        <x:v>238100000000</x:v>
      </x:c>
      <x:c r="J7" s="179" t="str">
        <x:f>IF(COUNTIFS('Precedent Transactions'!$E$7:$E$49,"approved",'Precedent Transactions'!$AA$7:$AA$49,"&lt;&gt;confirmed")+COUNTIFS('Precedent Transactions'!$E$7:$E$49,"&lt;&gt;rejected",'Precedent Transactions'!$G$7:$G$49,"*price_target_context*")=0,"OK","REVIEW")</x:f>
        <x:v>OK</x:v>
      </x:c>
    </x:row>
    <x:row r="10" ht="22" customHeight="1">
      <x:c r="A10" s="176" t="str">
        <x:v>PRECEDENT VALUATION — APPROVED M&amp;A ONLY</x:v>
      </x:c>
      <x:c r="B10" s="176"/>
      <x:c r="C10" s="176"/>
      <x:c r="D10" s="176"/>
      <x:c r="E10" s="176"/>
      <x:c r="F10" s="176"/>
      <x:c r="G10" s="176"/>
      <x:c r="H10" s="176"/>
      <x:c r="I10" s="176"/>
      <x:c r="J10" s="176"/>
    </x:row>
    <x:row r="12" ht="32" customHeight="1">
      <x:c r="A12" s="173" t="str">
        <x:v>Median EV / Revenue</x:v>
      </x:c>
      <x:c r="B12" s="173" t="str">
        <x:v>Median EV / EBITDA</x:v>
      </x:c>
      <x:c r="C12" s="173" t="str">
        <x:v>EV / Revenue coverage</x:v>
      </x:c>
      <x:c r="D12" s="173" t="str">
        <x:v>EV / EBITDA coverage</x:v>
      </x:c>
    </x:row>
    <x:row r="13" ht="26" customHeight="1">
      <x:c r="A13" s="184" t="str">
        <x:f>IFERROR(MEDIAN(FILTER('Precedent Transactions'!$V$7:$V$49,('Precedent Transactions'!$C$7:$C$49="M&amp;A")*('Precedent Transactions'!$E$7:$E$49="approved")*ISNUMBER('Precedent Transactions'!$V$7:$V$49))),"N/M")</x:f>
        <x:v>N/M</x:v>
      </x:c>
      <x:c r="B13" s="184" t="str">
        <x:f>IFERROR(MEDIAN(FILTER('Precedent Transactions'!$W$7:$W$49,('Precedent Transactions'!$C$7:$C$49="M&amp;A")*('Precedent Transactions'!$E$7:$E$49="approved")*ISNUMBER('Precedent Transactions'!$W$7:$W$49))),"N/M")</x:f>
        <x:v>N/M</x:v>
      </x:c>
      <x:c r="C13" s="183" t="n">
        <x:f>COUNTIFS('Precedent Transactions'!$C$7:$C$49,"M&amp;A",'Precedent Transactions'!$E$7:$E$49,"approved",'Precedent Transactions'!$V$7:$V$49,"&gt;0")</x:f>
        <x:v>0</x:v>
      </x:c>
      <x:c r="D13" s="183" t="n">
        <x:f>COUNTIFS('Precedent Transactions'!$C$7:$C$49,"M&amp;A",'Precedent Transactions'!$E$7:$E$49,"approved",'Precedent Transactions'!$W$7:$W$49,"&gt;0")</x:f>
        <x:v>0</x:v>
      </x:c>
    </x:row>
    <x:row r="16" ht="22" customHeight="1">
      <x:c r="A16" s="176" t="str">
        <x:v>TOP 10 KEY TRANSACTIONS</x:v>
      </x:c>
      <x:c r="B16" s="176"/>
      <x:c r="C16" s="176"/>
      <x:c r="D16" s="176"/>
      <x:c r="E16" s="176"/>
      <x:c r="F16" s="176"/>
      <x:c r="G16" s="176"/>
      <x:c r="H16" s="176"/>
      <x:c r="I16" s="176"/>
      <x:c r="J16" s="176"/>
    </x:row>
    <x:row r="18" ht="32" customHeight="1">
      <x:c r="A18" s="173" t="str">
        <x:v>Date</x:v>
      </x:c>
      <x:c r="B18" s="173" t="str">
        <x:v>Type</x:v>
      </x:c>
      <x:c r="C18" s="173" t="str">
        <x:v>Status</x:v>
      </x:c>
      <x:c r="D18" s="173" t="str">
        <x:v>Quality</x:v>
      </x:c>
      <x:c r="E18" s="173" t="str">
        <x:v>Target / Issuer</x:v>
      </x:c>
      <x:c r="F18" s="173" t="str">
        <x:v>Acquirer / Investor</x:v>
      </x:c>
      <x:c r="G18" s="173" t="str">
        <x:v>Value</x:v>
      </x:c>
      <x:c r="H18" s="173" t="str">
        <x:v>Currency</x:v>
      </x:c>
      <x:c r="I18" s="173" t="str">
        <x:v>Sources</x:v>
      </x:c>
      <x:c r="J18" s="173" t="str">
        <x:v>Headline</x:v>
      </x:c>
    </x:row>
    <x:row r="19">
      <x:c r="A19" s="122" t="n">
        <x:v>46202</x:v>
      </x:c>
      <x:c r="B19" s="119" t="str">
        <x:v>DCM</x:v>
      </x:c>
      <x:c r="C19" s="119" t="str">
        <x:v>Confirmed</x:v>
      </x:c>
      <x:c r="D19" s="119" t="str">
        <x:v>approved</x:v>
      </x:c>
      <x:c r="E19" s="119" t="str">
        <x:v>Итоги выпуска биржевых облигаций</x:v>
      </x:c>
      <x:c r="F19" s="119" t="str">
        <x:v>Not applicable</x:v>
      </x:c>
      <x:c r="G19" s="125"/>
      <x:c r="H19" s="119" t="str">
        <x:v>NOT DISCLOSED</x:v>
      </x:c>
      <x:c r="I19" s="119" t="n">
        <x:v>1</x:v>
      </x:c>
      <x:c r="J19" s="128" t="str">
        <x:v>Итоги выпуска биржевых облигаций</x:v>
      </x:c>
    </x:row>
    <x:row r="20">
      <x:c r="A20" s="123" t="n">
        <x:v>46201</x:v>
      </x:c>
      <x:c r="B20" s="120" t="str">
        <x:v>DCM</x:v>
      </x:c>
      <x:c r="C20" s="120" t="str">
        <x:v>Closed</x:v>
      </x:c>
      <x:c r="D20" s="120" t="str">
        <x:v>approved</x:v>
      </x:c>
      <x:c r="E20" s="120" t="str">
        <x:v>MTSS</x:v>
      </x:c>
      <x:c r="F20" s="120" t="str">
        <x:v>Not applicable</x:v>
      </x:c>
      <x:c r="G20" s="126" t="n">
        <x:v>20000000000</x:v>
      </x:c>
      <x:c r="H20" s="120" t="str">
        <x:v>RUB</x:v>
      </x:c>
      <x:c r="I20" s="120" t="n">
        <x:v>1</x:v>
      </x:c>
      <x:c r="J20" s="129" t="str">
        <x:v>МТС успешно закрыла книгу биржевых облигаций 003Р-03 на 20 млрд руб.</x:v>
      </x:c>
    </x:row>
    <x:row r="21">
      <x:c r="A21" s="123" t="n">
        <x:v>46197</x:v>
      </x:c>
      <x:c r="B21" s="120" t="str">
        <x:v>DCM</x:v>
      </x:c>
      <x:c r="C21" s="120" t="str">
        <x:v>Announced</x:v>
      </x:c>
      <x:c r="D21" s="120" t="str">
        <x:v>review</x:v>
      </x:c>
      <x:c r="E21" s="120" t="str">
        <x:v>Selectel</x:v>
      </x:c>
      <x:c r="F21" s="120" t="str">
        <x:v>Not applicable</x:v>
      </x:c>
      <x:c r="G21" s="126" t="n">
        <x:v>5000000000</x:v>
      </x:c>
      <x:c r="H21" s="120" t="str">
        <x:v>RUB</x:v>
      </x:c>
      <x:c r="I21" s="120" t="n">
        <x:v>1</x:v>
      </x:c>
      <x:c r="J21" s="129" t="str">
        <x:v>Selectel разместит облигации на 5 млрд руб. для рефинансирования и инвестиций - ComNews.ru</x:v>
      </x:c>
    </x:row>
    <x:row r="22">
      <x:c r="A22" s="123" t="n">
        <x:v>46192</x:v>
      </x:c>
      <x:c r="B22" s="120" t="str">
        <x:v>DCM</x:v>
      </x:c>
      <x:c r="C22" s="120" t="str">
        <x:v>Issued</x:v>
      </x:c>
      <x:c r="D22" s="120" t="str">
        <x:v>approved</x:v>
      </x:c>
      <x:c r="E22" s="120" t="str">
        <x:v>Yandex</x:v>
      </x:c>
      <x:c r="F22" s="120" t="str">
        <x:v>Not applicable</x:v>
      </x:c>
      <x:c r="G22" s="126" t="n">
        <x:v>60000000000</x:v>
      </x:c>
      <x:c r="H22" s="120" t="str">
        <x:v>RUB</x:v>
      </x:c>
      <x:c r="I22" s="120" t="n">
        <x:v>1</x:v>
      </x:c>
      <x:c r="J22" s="129" t="str">
        <x:v>Яндекс разместил два выпуска биржевых облигаций на общую сумму 60 млрд рублей</x:v>
      </x:c>
    </x:row>
    <x:row r="23">
      <x:c r="A23" s="123" t="n">
        <x:v>46183</x:v>
      </x:c>
      <x:c r="B23" s="120" t="str">
        <x:v>DCM</x:v>
      </x:c>
      <x:c r="C23" s="120" t="str">
        <x:v>Reported</x:v>
      </x:c>
      <x:c r="D23" s="120" t="str">
        <x:v>review</x:v>
      </x:c>
      <x:c r="E23" s="120" t="str">
        <x:v>Норникель</x:v>
      </x:c>
      <x:c r="F23" s="120" t="str">
        <x:v>Not applicable</x:v>
      </x:c>
      <x:c r="G23" s="126" t="n">
        <x:v>3000000000</x:v>
      </x:c>
      <x:c r="H23" s="120" t="str">
        <x:v>RUB</x:v>
      </x:c>
      <x:c r="I23" s="120" t="n">
        <x:v>1</x:v>
      </x:c>
      <x:c r="J23" s="129" t="str">
        <x:v>"Норникель" зафиксировал объем размещения облигаций на уровне 3 млрд юаней - Интерфакс</x:v>
      </x:c>
    </x:row>
    <x:row r="24">
      <x:c r="A24" s="123" t="n">
        <x:v>46177</x:v>
      </x:c>
      <x:c r="B24" s="120" t="str">
        <x:v>M&amp;A</x:v>
      </x:c>
      <x:c r="C24" s="120" t="str">
        <x:v>Denied</x:v>
      </x:c>
      <x:c r="D24" s="120" t="str">
        <x:v>review</x:v>
      </x:c>
      <x:c r="E24" s="120" t="str">
        <x:v>Ozon</x:v>
      </x:c>
      <x:c r="F24" s="120" t="str">
        <x:v>Sber</x:v>
      </x:c>
      <x:c r="G24" s="126"/>
      <x:c r="H24" s="120" t="str">
        <x:v>Not disclosed</x:v>
      </x:c>
      <x:c r="I24" s="120" t="n">
        <x:v>7</x:v>
      </x:c>
      <x:c r="J24" s="129" t="str">
        <x:v>Греф опроверг договоренность Сбера о покупке доли в Озоне - БКС Экспресс</x:v>
      </x:c>
    </x:row>
    <x:row r="25">
      <x:c r="A25" s="123" t="n">
        <x:v>46175</x:v>
      </x:c>
      <x:c r="B25" s="120" t="str">
        <x:v>M&amp;A</x:v>
      </x:c>
      <x:c r="C25" s="120" t="str">
        <x:v>Closed</x:v>
      </x:c>
      <x:c r="D25" s="120" t="str">
        <x:v>approved</x:v>
      </x:c>
      <x:c r="E25" s="120" t="str">
        <x:v>Авто.ру</x:v>
      </x:c>
      <x:c r="F25" s="120" t="str">
        <x:v>Т-Технологии</x:v>
      </x:c>
      <x:c r="G25" s="126" t="n">
        <x:v>35000000000</x:v>
      </x:c>
      <x:c r="H25" s="120" t="str">
        <x:v>NOT DISCLOSED</x:v>
      </x:c>
      <x:c r="I25" s="120" t="n">
        <x:v>3</x:v>
      </x:c>
      <x:c r="J25" s="129" t="str">
        <x:v>Яндекс закрыл сделку по продаже Авто.ру</x:v>
      </x:c>
    </x:row>
    <x:row r="26">
      <x:c r="A26" s="123" t="n">
        <x:v>46170</x:v>
      </x:c>
      <x:c r="B26" s="120" t="str">
        <x:v>M&amp;A</x:v>
      </x:c>
      <x:c r="C26" s="120" t="str">
        <x:v>Reported</x:v>
      </x:c>
      <x:c r="D26" s="120" t="str">
        <x:v>review</x:v>
      </x:c>
      <x:c r="E26" s="120" t="str">
        <x:v>Островок</x:v>
      </x:c>
      <x:c r="F26" s="120" t="str">
        <x:v>Yandex</x:v>
      </x:c>
      <x:c r="G26" s="126"/>
      <x:c r="H26" s="120" t="str">
        <x:v>NOT DISCLOSED</x:v>
      </x:c>
      <x:c r="I26" s="120" t="n">
        <x:v>1</x:v>
      </x:c>
      <x:c r="J26" s="129" t="str">
        <x:v>"Яндекс" стал основным претендентом на покупку "Островка" - Финам</x:v>
      </x:c>
    </x:row>
    <x:row r="27">
      <x:c r="A27" s="123" t="n">
        <x:v>46147</x:v>
      </x:c>
      <x:c r="B27" s="120" t="str">
        <x:v>ECM</x:v>
      </x:c>
      <x:c r="C27" s="120" t="str">
        <x:v>Reported</x:v>
      </x:c>
      <x:c r="D27" s="120" t="str">
        <x:v>review</x:v>
      </x:c>
      <x:c r="E27" s="120" t="str">
        <x:v>Yandex</x:v>
      </x:c>
      <x:c r="F27" s="120" t="str">
        <x:v>Not applicable</x:v>
      </x:c>
      <x:c r="G27" s="126" t="n">
        <x:v>50000000000</x:v>
      </x:c>
      <x:c r="H27" s="120" t="str">
        <x:v>RUB</x:v>
      </x:c>
      <x:c r="I27" s="120" t="n">
        <x:v>1</x:v>
      </x:c>
      <x:c r="J27" s="129" t="str">
        <x:v>Яндекс одобрил выкуп акций на 50 млрд рублей - БКС Экспресс</x:v>
      </x:c>
    </x:row>
    <x:row r="28">
      <x:c r="A28" s="124" t="n">
        <x:v>46128</x:v>
      </x:c>
      <x:c r="B28" s="121" t="str">
        <x:v>M&amp;A</x:v>
      </x:c>
      <x:c r="C28" s="121" t="str">
        <x:v>Reported</x:v>
      </x:c>
      <x:c r="D28" s="121" t="str">
        <x:v>review</x:v>
      </x:c>
      <x:c r="E28" s="121" t="str">
        <x:v>Точка Банка</x:v>
      </x:c>
      <x:c r="F28" s="121" t="str">
        <x:v>Not disclosed</x:v>
      </x:c>
      <x:c r="G28" s="127" t="n">
        <x:v>21200000000</x:v>
      </x:c>
      <x:c r="H28" s="121" t="str">
        <x:v>RUB</x:v>
      </x:c>
      <x:c r="I28" s="121" t="n">
        <x:v>3</x:v>
      </x:c>
      <x:c r="J28" s="130" t="str">
        <x:v>VK продал 25% акций Точка Банка: сделку оценили в 21,2 млрд ₽ — вдвое выше изначальной стоимости бумаг - RB.RU</x:v>
      </x:c>
    </x:row>
  </x:sheetData>
  <x:mergeCells>
    <x:mergeCell ref="A1:J1"/>
    <x:mergeCell ref="A2:J2"/>
    <x:mergeCell ref="A4:J4"/>
    <x:mergeCell ref="A10:J10"/>
    <x:mergeCell ref="A16:J16"/>
  </x:mergeCells>
  <x:conditionalFormatting sqref="J7:J7">
    <x:cfRule type="containsText" dxfId="5" priority="1" operator="containsText" text="OK"/>
    <x:cfRule type="containsText" dxfId="6" priority="2" operator="containsText" text="REVIEW"/>
    <x:cfRule type="containsText" dxfId="21" priority="5" operator="containsText" text="OK"/>
    <x:cfRule type="containsText" dxfId="22" priority="6" operator="containsText" text="REVIEW"/>
  </x:conditionalFormatting>
  <x:conditionalFormatting sqref="D19:D28">
    <x:cfRule type="containsText" dxfId="7" priority="3" operator="containsText" text="approved"/>
    <x:cfRule type="containsText" dxfId="8" priority="4" operator="containsText" text="review"/>
    <x:cfRule type="containsText" dxfId="23" priority="7" operator="containsText" text="approved"/>
    <x:cfRule type="containsText" dxfId="24" priority="8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5b8a25490bff4f5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9" hidden="0" customWidth="1"/>
    <x:col min="4" max="4" width="13" hidden="0" customWidth="1"/>
    <x:col min="5" max="5" width="15" hidden="0" customWidth="1"/>
    <x:col min="6" max="6" width="12" hidden="0" customWidth="1"/>
    <x:col min="7" max="7" width="28" hidden="0" customWidth="1"/>
    <x:col min="8" max="8" width="22" hidden="0" customWidth="1"/>
    <x:col min="9" max="9" width="22" hidden="0" customWidth="1"/>
    <x:col min="10" max="10" width="16" hidden="0" customWidth="1"/>
    <x:col min="11" max="11" width="14" hidden="0" customWidth="1"/>
    <x:col min="12" max="12" width="18" hidden="0" customWidth="1"/>
    <x:col min="13" max="13" width="18" hidden="0" customWidth="1"/>
    <x:col min="14" max="14" width="12" hidden="0" customWidth="1"/>
    <x:col min="15" max="15" width="10" hidden="0" customWidth="1"/>
    <x:col min="16" max="16" width="16" hidden="0" customWidth="1"/>
    <x:col min="17" max="17" width="20" hidden="0" customWidth="1"/>
    <x:col min="18" max="18" width="16" hidden="0" customWidth="1"/>
    <x:col min="19" max="19" width="16" hidden="0" customWidth="1"/>
    <x:col min="20" max="20" width="18" hidden="0" customWidth="1"/>
    <x:col min="21" max="21" width="16" hidden="0" customWidth="1"/>
    <x:col min="22" max="22" width="14" hidden="0" customWidth="1"/>
    <x:col min="23" max="23" width="14" hidden="0" customWidth="1"/>
    <x:col min="24" max="24" width="18" hidden="0" customWidth="1"/>
    <x:col min="25" max="25" width="30" hidden="0" customWidth="1"/>
    <x:col min="26" max="26" width="11" hidden="0" customWidth="1"/>
    <x:col min="27" max="27" width="12" hidden="0" customWidth="1"/>
    <x:col min="28" max="28" width="14" hidden="0" customWidth="1"/>
    <x:col min="29" max="29" width="12" hidden="0" customWidth="1"/>
    <x:col min="30" max="30" width="22" hidden="0" customWidth="1"/>
    <x:col min="31" max="31" width="38" hidden="0" customWidth="1"/>
    <x:col min="32" max="32" width="30" hidden="0" customWidth="1"/>
    <x:col min="33" max="33" width="45" hidden="0" customWidth="1"/>
    <x:col min="34" max="34" width="54" hidden="0" customWidth="1"/>
    <x:col min="35" max="35" width="22" hidden="0" customWidth="1"/>
    <x:col min="36" max="36" width="22" hidden="0" customWidth="1"/>
    <x:col min="37" max="37" width="34" hidden="0" customWidth="1"/>
  </x:cols>
  <x:sheetData>
    <x:row r="1" ht="22" customHeight="1">
      <x:c r="A1" s="164" t="str">
        <x:v>PRECEDENT TRANSACTIONS DATABASE</x:v>
      </x:c>
      <x:c r="B1" s="164"/>
      <x:c r="C1" s="164"/>
      <x:c r="D1" s="164"/>
      <x:c r="E1" s="164"/>
      <x:c r="F1" s="164"/>
      <x:c r="G1" s="164"/>
      <x:c r="H1" s="164"/>
      <x:c r="I1" s="164"/>
      <x:c r="J1" s="164"/>
      <x:c r="K1" s="164"/>
      <x:c r="L1" s="164"/>
      <x:c r="M1" s="164"/>
      <x:c r="N1" s="164"/>
      <x:c r="O1" s="164"/>
      <x:c r="P1" s="164"/>
      <x:c r="Q1" s="164"/>
      <x:c r="R1" s="164"/>
      <x:c r="S1" s="164"/>
      <x:c r="T1" s="164"/>
      <x:c r="U1" s="164"/>
      <x:c r="V1" s="164"/>
      <x:c r="W1" s="164"/>
      <x:c r="X1" s="164"/>
      <x:c r="Y1" s="164"/>
      <x:c r="Z1" s="164"/>
      <x:c r="AA1" s="164"/>
      <x:c r="AB1" s="164"/>
      <x:c r="AC1" s="164"/>
      <x:c r="AD1" s="164"/>
      <x:c r="AE1" s="164"/>
      <x:c r="AF1" s="164"/>
      <x:c r="AG1" s="164"/>
      <x:c r="AH1" s="164"/>
      <x:c r="AI1" s="164"/>
      <x:c r="AJ1" s="164"/>
      <x:c r="AK1" s="164"/>
    </x:row>
    <x:row r="2" ht="22" customHeight="1">
      <x:c r="A2" s="166" t="str">
        <x:v>Quality-gated archive | rejected rows remain visible for audit but never enter the Top 10 | blank economics are not zero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  <x:c r="L2" s="166"/>
      <x:c r="M2" s="166"/>
      <x:c r="N2" s="166"/>
      <x:c r="O2" s="166"/>
      <x:c r="P2" s="166"/>
      <x:c r="Q2" s="166"/>
      <x:c r="R2" s="166"/>
      <x:c r="S2" s="166"/>
      <x:c r="T2" s="166"/>
      <x:c r="U2" s="166"/>
      <x:c r="V2" s="166"/>
      <x:c r="W2" s="166"/>
      <x:c r="X2" s="166"/>
      <x:c r="Y2" s="166"/>
      <x:c r="Z2" s="166"/>
      <x:c r="AA2" s="166"/>
      <x:c r="AB2" s="166"/>
      <x:c r="AC2" s="166"/>
      <x:c r="AD2" s="166"/>
      <x:c r="AE2" s="166"/>
      <x:c r="AF2" s="166"/>
      <x:c r="AG2" s="166"/>
      <x:c r="AH2" s="166"/>
      <x:c r="AI2" s="166"/>
      <x:c r="AJ2" s="166"/>
      <x:c r="AK2" s="166"/>
    </x:row>
    <x:row r="3" ht="22" customHeight="1"/>
    <x:row r="4" ht="22" customHeight="1">
      <x:c r="A4" s="169" t="str">
        <x:v>Green text = sourced field · black text = calculated / QA field · red URL text = external source · verify primary documents</x:v>
      </x:c>
      <x:c r="B4" s="169"/>
      <x:c r="C4" s="169"/>
      <x:c r="D4" s="169"/>
      <x:c r="E4" s="169"/>
      <x:c r="F4" s="169"/>
      <x:c r="G4" s="169"/>
      <x:c r="H4" s="169"/>
      <x:c r="I4" s="169"/>
      <x:c r="J4" s="169"/>
      <x:c r="K4" s="169"/>
      <x:c r="L4" s="169"/>
      <x:c r="M4" s="169"/>
      <x:c r="N4" s="169"/>
      <x:c r="O4" s="169"/>
      <x:c r="P4" s="169"/>
      <x:c r="Q4" s="169"/>
      <x:c r="R4" s="169"/>
      <x:c r="S4" s="169"/>
      <x:c r="T4" s="169"/>
      <x:c r="U4" s="169"/>
      <x:c r="V4" s="169"/>
      <x:c r="W4" s="169"/>
      <x:c r="X4" s="169"/>
      <x:c r="Y4" s="169"/>
      <x:c r="Z4" s="169"/>
      <x:c r="AA4" s="169"/>
      <x:c r="AB4" s="169"/>
      <x:c r="AC4" s="169"/>
      <x:c r="AD4" s="169"/>
      <x:c r="AE4" s="169"/>
      <x:c r="AF4" s="169"/>
      <x:c r="AG4" s="169"/>
      <x:c r="AH4" s="169"/>
      <x:c r="AI4" s="169"/>
      <x:c r="AJ4" s="169"/>
      <x:c r="AK4" s="169"/>
    </x:row>
    <x:row r="5" ht="22" customHeight="1"/>
    <x:row r="6" ht="22" customHeight="1">
      <x:c r="A6" s="174" t="str">
        <x:v>Deal ID</x:v>
      </x:c>
      <x:c r="B6" s="174" t="str">
        <x:v>Announced Date</x:v>
      </x:c>
      <x:c r="C6" s="174" t="str">
        <x:v>Type</x:v>
      </x:c>
      <x:c r="D6" s="174" t="str">
        <x:v>Status</x:v>
      </x:c>
      <x:c r="E6" s="174" t="str">
        <x:v>Quality Status</x:v>
      </x:c>
      <x:c r="F6" s="174" t="str">
        <x:v>Quality Score</x:v>
      </x:c>
      <x:c r="G6" s="174" t="str">
        <x:v>Quality Flags</x:v>
      </x:c>
      <x:c r="H6" s="174" t="str">
        <x:v>Target / Issuer</x:v>
      </x:c>
      <x:c r="I6" s="174" t="str">
        <x:v>Acquirer / Investor</x:v>
      </x:c>
      <x:c r="J6" s="174" t="str">
        <x:v>Sector</x:v>
      </x:c>
      <x:c r="K6" s="174" t="str">
        <x:v>Geography</x:v>
      </x:c>
      <x:c r="L6" s="174" t="str">
        <x:v>Transaction Value</x:v>
      </x:c>
      <x:c r="M6" s="174" t="str">
        <x:v>Enterprise Value</x:v>
      </x:c>
      <x:c r="N6" s="174" t="str">
        <x:v>Currency</x:v>
      </x:c>
      <x:c r="O6" s="174" t="str">
        <x:v>Stake %</x:v>
      </x:c>
      <x:c r="P6" s="174" t="str">
        <x:v>Payment Form</x:v>
      </x:c>
      <x:c r="Q6" s="174" t="str">
        <x:v>Advisors</x:v>
      </x:c>
      <x:c r="R6" s="174" t="str">
        <x:v>Revenue LTM</x:v>
      </x:c>
      <x:c r="S6" s="174" t="str">
        <x:v>EBITDA LTM</x:v>
      </x:c>
      <x:c r="T6" s="174" t="str">
        <x:v>Financials As Of</x:v>
      </x:c>
      <x:c r="U6" s="174" t="str">
        <x:v>Financials Currency</x:v>
      </x:c>
      <x:c r="V6" s="174" t="str">
        <x:v>EV / Revenue</x:v>
      </x:c>
      <x:c r="W6" s="174" t="str">
        <x:v>EV / EBITDA</x:v>
      </x:c>
      <x:c r="X6" s="174" t="str">
        <x:v>Instrument</x:v>
      </x:c>
      <x:c r="Y6" s="174" t="str">
        <x:v>Rationale</x:v>
      </x:c>
      <x:c r="Z6" s="174" t="str">
        <x:v>Signal Score</x:v>
      </x:c>
      <x:c r="AA6" s="174" t="str">
        <x:v>Evidence</x:v>
      </x:c>
      <x:c r="AB6" s="174" t="str">
        <x:v>Coverage</x:v>
      </x:c>
      <x:c r="AC6" s="174" t="str">
        <x:v>Source Count</x:v>
      </x:c>
      <x:c r="AD6" s="174" t="str">
        <x:v>Primary Source</x:v>
      </x:c>
      <x:c r="AE6" s="174" t="str">
        <x:v>Primary URL</x:v>
      </x:c>
      <x:c r="AF6" s="174" t="str">
        <x:v>All Source Names</x:v>
      </x:c>
      <x:c r="AG6" s="174" t="str">
        <x:v>All Source URLs</x:v>
      </x:c>
      <x:c r="AH6" s="174" t="str">
        <x:v>Headline</x:v>
      </x:c>
      <x:c r="AI6" s="174" t="str">
        <x:v>First Seen</x:v>
      </x:c>
      <x:c r="AJ6" s="174" t="str">
        <x:v>Last Seen</x:v>
      </x:c>
      <x:c r="AK6" s="174" t="str">
        <x:v>Notes</x:v>
      </x:c>
    </x:row>
    <x:row r="7">
      <x:c r="A7" s="87" t="str">
        <x:v>DL-moex-101536</x:v>
      </x:c>
      <x:c r="B7" s="88" t="n">
        <x:v>46202</x:v>
      </x:c>
      <x:c r="C7" s="87" t="str">
        <x:v>DCM</x:v>
      </x:c>
      <x:c r="D7" s="87" t="str">
        <x:v>Confirmed</x:v>
      </x:c>
      <x:c r="E7" s="87" t="str">
        <x:v>approved</x:v>
      </x:c>
      <x:c r="F7" s="89" t="n">
        <x:v>100</x:v>
      </x:c>
      <x:c r="G7" s="90" t="str"/>
      <x:c r="H7" s="87" t="str">
        <x:v>Итоги выпуска биржевых облигаций</x:v>
      </x:c>
      <x:c r="I7" s="87" t="str">
        <x:v>Not applicable</x:v>
      </x:c>
      <x:c r="J7" s="87" t="str">
        <x:v>Financials</x:v>
      </x:c>
      <x:c r="K7" s="87" t="str">
        <x:v>Russia</x:v>
      </x:c>
      <x:c r="L7" s="91"/>
      <x:c r="M7" s="91"/>
      <x:c r="N7" s="87" t="str">
        <x:v>NOT DISCLOSED</x:v>
      </x:c>
      <x:c r="O7" s="92" t="n">
        <x:v>0.7859999999999999</x:v>
      </x:c>
      <x:c r="P7" s="87" t="str">
        <x:v>Not applicable</x:v>
      </x:c>
      <x:c r="Q7" s="87" t="str">
        <x:v>Not disclosed</x:v>
      </x:c>
      <x:c r="R7" s="87"/>
      <x:c r="S7" s="87"/>
      <x:c r="T7" s="87" t="str">
        <x:v>Not disclosed</x:v>
      </x:c>
      <x:c r="U7" s="87" t="str">
        <x:v>Not disclosed</x:v>
      </x:c>
      <x:c r="V7" s="93"/>
      <x:c r="W7" s="93"/>
      <x:c r="X7" s="87" t="str">
        <x:v>Bonds</x:v>
      </x:c>
      <x:c r="Y7" s="87" t="str">
        <x:v>Not disclosed</x:v>
      </x:c>
      <x:c r="Z7" s="89" t="n">
        <x:v>7</x:v>
      </x:c>
      <x:c r="AA7" s="87" t="str">
        <x:v>confirmed</x:v>
      </x:c>
      <x:c r="AB7" s="87" t="str"/>
      <x:c r="AC7" s="87" t="n">
        <x:v>1</x:v>
      </x:c>
      <x:c r="AD7" s="87" t="str">
        <x:v>MOEX disclosure</x:v>
      </x:c>
      <x:c r="AE7" s="94" t="str">
        <x:v>https://www.moex.com/n101536</x:v>
      </x:c>
      <x:c r="AF7" s="90" t="str">
        <x:v>MOEX disclosure</x:v>
      </x:c>
      <x:c r="AG7" s="95" t="str">
        <x:v>https://www.moex.com/n101536</x:v>
      </x:c>
      <x:c r="AH7" s="90" t="str">
        <x:v>Итоги выпуска биржевых облигаций</x:v>
      </x:c>
      <x:c r="AI7" s="90" t="n">
        <x:v>46202.42365740741</x:v>
      </x:c>
      <x:c r="AJ7" s="90" t="n">
        <x:v>46202.548993055556</x:v>
      </x:c>
      <x:c r="AK7" s="90" t="str">
        <x:v>Screening record; verify against primary transaction documents.</x:v>
      </x:c>
    </x:row>
    <x:row r="8">
      <x:c r="A8" s="87" t="str">
        <x:v>DL-4d8f7bcb385b1c88</x:v>
      </x:c>
      <x:c r="B8" s="88" t="n">
        <x:v>46201</x:v>
      </x:c>
      <x:c r="C8" s="87" t="str">
        <x:v>DCM</x:v>
      </x:c>
      <x:c r="D8" s="87" t="str">
        <x:v>Closed</x:v>
      </x:c>
      <x:c r="E8" s="87" t="str">
        <x:v>approved</x:v>
      </x:c>
      <x:c r="F8" s="89" t="n">
        <x:v>100</x:v>
      </x:c>
      <x:c r="G8" s="90" t="str"/>
      <x:c r="H8" s="87" t="str">
        <x:v>MTSS</x:v>
      </x:c>
      <x:c r="I8" s="87" t="str">
        <x:v>Not applicable</x:v>
      </x:c>
      <x:c r="J8" s="87" t="str">
        <x:v>Not classified</x:v>
      </x:c>
      <x:c r="K8" s="87" t="str">
        <x:v>Russia</x:v>
      </x:c>
      <x:c r="L8" s="91" t="n">
        <x:v>20000000000</x:v>
      </x:c>
      <x:c r="M8" s="91"/>
      <x:c r="N8" s="87" t="str">
        <x:v>RUB</x:v>
      </x:c>
      <x:c r="O8" s="92"/>
      <x:c r="P8" s="87" t="str">
        <x:v>Not applicable</x:v>
      </x:c>
      <x:c r="Q8" s="87" t="str">
        <x:v>Not disclosed</x:v>
      </x:c>
      <x:c r="R8" s="87"/>
      <x:c r="S8" s="87"/>
      <x:c r="T8" s="87" t="str">
        <x:v>Not disclosed</x:v>
      </x:c>
      <x:c r="U8" s="87" t="str">
        <x:v>Not disclosed</x:v>
      </x:c>
      <x:c r="V8" s="93"/>
      <x:c r="W8" s="93"/>
      <x:c r="X8" s="87" t="str">
        <x:v>Bonds</x:v>
      </x:c>
      <x:c r="Y8" s="87" t="str">
        <x:v>Not disclosed</x:v>
      </x:c>
      <x:c r="Z8" s="89" t="n">
        <x:v>6</x:v>
      </x:c>
      <x:c r="AA8" s="87" t="str">
        <x:v>confirmed</x:v>
      </x:c>
      <x:c r="AB8" s="87" t="str"/>
      <x:c r="AC8" s="87" t="n">
        <x:v>1</x:v>
      </x:c>
      <x:c r="AD8" s="87" t="str">
        <x:v>MTS Investor Relations</x:v>
      </x:c>
      <x:c r="AE8" s="94" t="str">
        <x:v>https://ir.mts.ru/news_and_events/corporate_releases/details/742414</x:v>
      </x:c>
      <x:c r="AF8" s="90" t="str">
        <x:v>MTS Investor Relations</x:v>
      </x:c>
      <x:c r="AG8" s="95" t="str">
        <x:v>https://ir.mts.ru/news_and_events/corporate_releases/details/742414</x:v>
      </x:c>
      <x:c r="AH8" s="90" t="str">
        <x:v>МТС успешно закрыла книгу биржевых облигаций 003Р-03 на 20 млрд руб.</x:v>
      </x:c>
      <x:c r="AI8" s="90" t="n">
        <x:v>46201.21556712963</x:v>
      </x:c>
      <x:c r="AJ8" s="90" t="n">
        <x:v>46201.21556712963</x:v>
      </x:c>
      <x:c r="AK8" s="90" t="str">
        <x:v>Screening record; verify against primary transaction documents.</x:v>
      </x:c>
    </x:row>
    <x:row r="9">
      <x:c r="A9" s="87" t="str">
        <x:v>DL-bfcdac2063ce29e4</x:v>
      </x:c>
      <x:c r="B9" s="88" t="n">
        <x:v>46201</x:v>
      </x:c>
      <x:c r="C9" s="87" t="str">
        <x:v>DCM</x:v>
      </x:c>
      <x:c r="D9" s="87" t="str">
        <x:v>Reported</x:v>
      </x:c>
      <x:c r="E9" s="87" t="str">
        <x:v>review</x:v>
      </x:c>
      <x:c r="F9" s="89" t="n">
        <x:v>75</x:v>
      </x:c>
      <x:c r="G9" s="90" t="str">
        <x:v>unverified_source</x:v>
      </x:c>
      <x:c r="H9" s="87" t="str">
        <x:v>YDEX</x:v>
      </x:c>
      <x:c r="I9" s="87" t="str">
        <x:v>Not applicable</x:v>
      </x:c>
      <x:c r="J9" s="87" t="str">
        <x:v>Not classified</x:v>
      </x:c>
      <x:c r="K9" s="87" t="str">
        <x:v>Not disclosed</x:v>
      </x:c>
      <x:c r="L9" s="91"/>
      <x:c r="M9" s="91"/>
      <x:c r="N9" s="87" t="str">
        <x:v>NOT DISCLOSED</x:v>
      </x:c>
      <x:c r="O9" s="92"/>
      <x:c r="P9" s="87" t="str">
        <x:v>Not applicable</x:v>
      </x:c>
      <x:c r="Q9" s="87" t="str">
        <x:v>Not disclosed</x:v>
      </x:c>
      <x:c r="R9" s="87"/>
      <x:c r="S9" s="87"/>
      <x:c r="T9" s="87" t="str">
        <x:v>Not disclosed</x:v>
      </x:c>
      <x:c r="U9" s="87" t="str">
        <x:v>Not disclosed</x:v>
      </x:c>
      <x:c r="V9" s="93"/>
      <x:c r="W9" s="93"/>
      <x:c r="X9" s="87" t="str">
        <x:v>Bonds</x:v>
      </x:c>
      <x:c r="Y9" s="87" t="str">
        <x:v>Not disclosed</x:v>
      </x:c>
      <x:c r="Z9" s="89" t="n">
        <x:v>3</x:v>
      </x:c>
      <x:c r="AA9" s="87" t="str">
        <x:v>unverified</x:v>
      </x:c>
      <x:c r="AB9" s="87" t="str"/>
      <x:c r="AC9" s="87" t="n">
        <x:v>1</x:v>
      </x:c>
      <x:c r="AD9" s="87" t="str">
        <x:v>Финансы Mail</x:v>
      </x:c>
      <x:c r="AE9" s="94" t="str">
        <x:v>https://finance.mail.ru/article/molodyie-investoryi-uvelichili-vlozheniya-v-obligatsii-v-dva-raza-69215293/</x:v>
      </x:c>
      <x:c r="AF9" s="90" t="str">
        <x:v>Финансы Mail</x:v>
      </x:c>
      <x:c r="AG9" s="95" t="str">
        <x:v>https://finance.mail.ru/article/molodyie-investoryi-uvelichili-vlozheniya-v-obligatsii-v-dva-raza-69215293/</x:v>
      </x:c>
      <x:c r="AH9" s="90" t="str">
        <x:v>Молодые инвесторы увеличили вложения в облигации в два раза - Финансы Mail</x:v>
      </x:c>
      <x:c r="AI9" s="90" t="n">
        <x:v>46201.63172453704</x:v>
      </x:c>
      <x:c r="AJ9" s="90" t="n">
        <x:v>46202.46146990741</x:v>
      </x:c>
      <x:c r="AK9" s="90" t="str">
        <x:v>Screening record; verify against primary transaction documents.</x:v>
      </x:c>
    </x:row>
    <x:row r="10">
      <x:c r="A10" s="87" t="str">
        <x:v>DL-3c400018ff8f7b5b</x:v>
      </x:c>
      <x:c r="B10" s="88" t="n">
        <x:v>46200</x:v>
      </x:c>
      <x:c r="C10" s="87" t="str">
        <x:v>M&amp;A</x:v>
      </x:c>
      <x:c r="D10" s="87" t="str">
        <x:v>Reported</x:v>
      </x:c>
      <x:c r="E10" s="87" t="str">
        <x:v>rejected</x:v>
      </x:c>
      <x:c r="F10" s="89" t="n">
        <x:v>0</x:v>
      </x:c>
      <x:c r="G10" s="90" t="str">
        <x:v>unverified_source, missing_both_parties, price_target_context</x:v>
      </x:c>
      <x:c r="H10" s="87" t="str">
        <x:v>Not disclosed</x:v>
      </x:c>
      <x:c r="I10" s="87" t="str">
        <x:v>Not disclosed</x:v>
      </x:c>
      <x:c r="J10" s="87" t="str">
        <x:v>Not classified</x:v>
      </x:c>
      <x:c r="K10" s="87" t="str">
        <x:v>Not disclosed</x:v>
      </x:c>
      <x:c r="L10" s="91"/>
      <x:c r="M10" s="91"/>
      <x:c r="N10" s="87" t="str">
        <x:v>Not disclosed</x:v>
      </x:c>
      <x:c r="O10" s="92"/>
      <x:c r="P10" s="87" t="str">
        <x:v>Shares</x:v>
      </x:c>
      <x:c r="Q10" s="87" t="str">
        <x:v>Not disclosed</x:v>
      </x:c>
      <x:c r="R10" s="87"/>
      <x:c r="S10" s="87"/>
      <x:c r="T10" s="87" t="str">
        <x:v>Not disclosed</x:v>
      </x:c>
      <x:c r="U10" s="87" t="str">
        <x:v>Not disclosed</x:v>
      </x:c>
      <x:c r="V10" s="93"/>
      <x:c r="W10" s="93"/>
      <x:c r="X10" s="87" t="str">
        <x:v>Acquisition / disposal</x:v>
      </x:c>
      <x:c r="Y10" s="87" t="str">
        <x:v>Not disclosed</x:v>
      </x:c>
      <x:c r="Z10" s="89" t="n">
        <x:v>3</x:v>
      </x:c>
      <x:c r="AA10" s="87" t="str">
        <x:v>unverified</x:v>
      </x:c>
      <x:c r="AB10" s="87" t="str"/>
      <x:c r="AC10" s="87" t="n">
        <x:v>1</x:v>
      </x:c>
      <x:c r="AD10" s="87" t="str">
        <x:v>foreignpolicyjournal.com</x:v>
      </x:c>
      <x:c r="AE10" s="94" t="str">
        <x:v>https://www.foreignpolicyjournal.com/2026/06/26/nebius-group-nasdaq-nbis-completes-eigen-ai-acquisition-analyst-lifts-stock-price-target-to-280/</x:v>
      </x:c>
      <x:c r="AF10" s="90" t="str">
        <x:v>foreignpolicyjournal.com</x:v>
      </x:c>
      <x:c r="AG10" s="95" t="str">
        <x:v>https://www.foreignpolicyjournal.com/2026/06/26/nebius-group-nasdaq-nbis-completes-eigen-ai-acquisition-analyst-lifts-stock-price-target-to-280/</x:v>
      </x:c>
      <x:c r="AH10" s="90" t="str">
        <x:v>Nebius Group ( NASDAQ : NBIS ) Completes Eigen AI Acquisition , Analyst Lifts Stock Price Target To $280</x:v>
      </x:c>
      <x:c r="AI10" s="90" t="n">
        <x:v>46201.65914351852</x:v>
      </x:c>
      <x:c r="AJ10" s="90" t="n">
        <x:v>46201.65914351852</x:v>
      </x:c>
      <x:c r="AK10" s="90" t="str">
        <x:v>Screening record; verify against primary transaction documents.</x:v>
      </x:c>
    </x:row>
    <x:row r="11">
      <x:c r="A11" s="87" t="str">
        <x:v>DL-moex-101473</x:v>
      </x:c>
      <x:c r="B11" s="88" t="n">
        <x:v>46199</x:v>
      </x:c>
      <x:c r="C11" s="87" t="str">
        <x:v>DCM</x:v>
      </x:c>
      <x:c r="D11" s="87" t="str">
        <x:v>Confirmed</x:v>
      </x:c>
      <x:c r="E11" s="87" t="str">
        <x:v>approved</x:v>
      </x:c>
      <x:c r="F11" s="89" t="n">
        <x:v>75</x:v>
      </x:c>
      <x:c r="G11" s="90" t="str">
        <x:v>missing_issuer</x:v>
      </x:c>
      <x:c r="H11" s="87" t="str">
        <x:v>Not disclosed</x:v>
      </x:c>
      <x:c r="I11" s="87" t="str">
        <x:v>Not applicable</x:v>
      </x:c>
      <x:c r="J11" s="87" t="str">
        <x:v>Not classified</x:v>
      </x:c>
      <x:c r="K11" s="87" t="str">
        <x:v>Russia</x:v>
      </x:c>
      <x:c r="L11" s="91"/>
      <x:c r="M11" s="91"/>
      <x:c r="N11" s="87" t="str">
        <x:v>NOT DISCLOSED</x:v>
      </x:c>
      <x:c r="O11" s="92"/>
      <x:c r="P11" s="87" t="str">
        <x:v>Not applicable</x:v>
      </x:c>
      <x:c r="Q11" s="87" t="str">
        <x:v>Not disclosed</x:v>
      </x:c>
      <x:c r="R11" s="87"/>
      <x:c r="S11" s="87"/>
      <x:c r="T11" s="87" t="str">
        <x:v>Not disclosed</x:v>
      </x:c>
      <x:c r="U11" s="87" t="str">
        <x:v>Not disclosed</x:v>
      </x:c>
      <x:c r="V11" s="93"/>
      <x:c r="W11" s="93"/>
      <x:c r="X11" s="87" t="str">
        <x:v>Bonds</x:v>
      </x:c>
      <x:c r="Y11" s="87" t="str">
        <x:v>Not disclosed</x:v>
      </x:c>
      <x:c r="Z11" s="89" t="n">
        <x:v>7</x:v>
      </x:c>
      <x:c r="AA11" s="87" t="str">
        <x:v>confirmed</x:v>
      </x:c>
      <x:c r="AB11" s="87" t="str"/>
      <x:c r="AC11" s="87" t="n">
        <x:v>1</x:v>
      </x:c>
      <x:c r="AD11" s="87" t="str">
        <x:v>MOEX disclosure</x:v>
      </x:c>
      <x:c r="AE11" s="94" t="str">
        <x:v>https://www.moex.com/n101473</x:v>
      </x:c>
      <x:c r="AF11" s="90" t="str">
        <x:v>MOEX disclosure</x:v>
      </x:c>
      <x:c r="AG11" s="95" t="str">
        <x:v>https://www.moex.com/n101473</x:v>
      </x:c>
      <x:c r="AH11" s="90" t="str">
        <x:v>О регистрации проспекта биржевых облигаций</x:v>
      </x:c>
      <x:c r="AI11" s="90" t="n">
        <x:v>46201.02903935185</x:v>
      </x:c>
      <x:c r="AJ11" s="90" t="n">
        <x:v>46201.65914351852</x:v>
      </x:c>
      <x:c r="AK11" s="90" t="str">
        <x:v>Screening record; verify against primary transaction documents.</x:v>
      </x:c>
    </x:row>
    <x:row r="12">
      <x:c r="A12" s="87" t="str">
        <x:v>DL-moex-101492</x:v>
      </x:c>
      <x:c r="B12" s="88" t="n">
        <x:v>46199</x:v>
      </x:c>
      <x:c r="C12" s="87" t="str">
        <x:v>DCM</x:v>
      </x:c>
      <x:c r="D12" s="87" t="str">
        <x:v>Confirmed</x:v>
      </x:c>
      <x:c r="E12" s="87" t="str">
        <x:v>approved</x:v>
      </x:c>
      <x:c r="F12" s="89" t="n">
        <x:v>75</x:v>
      </x:c>
      <x:c r="G12" s="90" t="str">
        <x:v>missing_issuer</x:v>
      </x:c>
      <x:c r="H12" s="87" t="str">
        <x:v>Not disclosed</x:v>
      </x:c>
      <x:c r="I12" s="87" t="str">
        <x:v>Not applicable</x:v>
      </x:c>
      <x:c r="J12" s="87" t="str">
        <x:v>Not classified</x:v>
      </x:c>
      <x:c r="K12" s="87" t="str">
        <x:v>Russia</x:v>
      </x:c>
      <x:c r="L12" s="91"/>
      <x:c r="M12" s="91"/>
      <x:c r="N12" s="87" t="str">
        <x:v>NOT DISCLOSED</x:v>
      </x:c>
      <x:c r="O12" s="92"/>
      <x:c r="P12" s="87" t="str">
        <x:v>Not applicable</x:v>
      </x:c>
      <x:c r="Q12" s="87" t="str">
        <x:v>Not disclosed</x:v>
      </x:c>
      <x:c r="R12" s="87"/>
      <x:c r="S12" s="87"/>
      <x:c r="T12" s="87" t="str">
        <x:v>Not disclosed</x:v>
      </x:c>
      <x:c r="U12" s="87" t="str">
        <x:v>Not disclosed</x:v>
      </x:c>
      <x:c r="V12" s="93"/>
      <x:c r="W12" s="93"/>
      <x:c r="X12" s="87" t="str">
        <x:v>Bonds</x:v>
      </x:c>
      <x:c r="Y12" s="87" t="str">
        <x:v>Not disclosed</x:v>
      </x:c>
      <x:c r="Z12" s="89" t="n">
        <x:v>6</x:v>
      </x:c>
      <x:c r="AA12" s="87" t="str">
        <x:v>confirmed</x:v>
      </x:c>
      <x:c r="AB12" s="87" t="str"/>
      <x:c r="AC12" s="87" t="n">
        <x:v>1</x:v>
      </x:c>
      <x:c r="AD12" s="87" t="str">
        <x:v>MOEX disclosure</x:v>
      </x:c>
      <x:c r="AE12" s="94" t="str">
        <x:v>https://www.moex.com/n101492</x:v>
      </x:c>
      <x:c r="AF12" s="90" t="str">
        <x:v>MOEX disclosure</x:v>
      </x:c>
      <x:c r="AG12" s="95" t="str">
        <x:v>https://www.moex.com/n101492</x:v>
      </x:c>
      <x:c r="AH12" s="90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  <x:c r="AI12" s="90" t="n">
        <x:v>46201.02903935185</x:v>
      </x:c>
      <x:c r="AJ12" s="90" t="n">
        <x:v>46202.548993055556</x:v>
      </x:c>
      <x:c r="AK12" s="90" t="str">
        <x:v>Screening record; verify against primary transaction documents.</x:v>
      </x:c>
    </x:row>
    <x:row r="13">
      <x:c r="A13" s="87" t="str">
        <x:v>DL-moex-101468</x:v>
      </x:c>
      <x:c r="B13" s="88" t="n">
        <x:v>46199</x:v>
      </x:c>
      <x:c r="C13" s="87" t="str">
        <x:v>DCM</x:v>
      </x:c>
      <x:c r="D13" s="87" t="str">
        <x:v>Confirmed</x:v>
      </x:c>
      <x:c r="E13" s="87" t="str">
        <x:v>rejected</x:v>
      </x:c>
      <x:c r="F13" s="89" t="n">
        <x:v>15</x:v>
      </x:c>
      <x:c r="G13" s="90" t="str">
        <x:v>non_transaction_or_technical_notice, missing_issuer</x:v>
      </x:c>
      <x:c r="H13" s="87" t="str">
        <x:v>Not disclosed</x:v>
      </x:c>
      <x:c r="I13" s="87" t="str">
        <x:v>Not applicable</x:v>
      </x:c>
      <x:c r="J13" s="87" t="str">
        <x:v>Not classified</x:v>
      </x:c>
      <x:c r="K13" s="87" t="str">
        <x:v>Russia</x:v>
      </x:c>
      <x:c r="L13" s="91"/>
      <x:c r="M13" s="91"/>
      <x:c r="N13" s="87" t="str">
        <x:v>NOT DISCLOSED</x:v>
      </x:c>
      <x:c r="O13" s="92"/>
      <x:c r="P13" s="87" t="str">
        <x:v>Not applicable</x:v>
      </x:c>
      <x:c r="Q13" s="87" t="str">
        <x:v>Not disclosed</x:v>
      </x:c>
      <x:c r="R13" s="87"/>
      <x:c r="S13" s="87"/>
      <x:c r="T13" s="87" t="str">
        <x:v>Not disclosed</x:v>
      </x:c>
      <x:c r="U13" s="87" t="str">
        <x:v>Not disclosed</x:v>
      </x:c>
      <x:c r="V13" s="93"/>
      <x:c r="W13" s="93"/>
      <x:c r="X13" s="87" t="str">
        <x:v>Bonds</x:v>
      </x:c>
      <x:c r="Y13" s="87" t="str">
        <x:v>Not disclosed</x:v>
      </x:c>
      <x:c r="Z13" s="89" t="n">
        <x:v>6</x:v>
      </x:c>
      <x:c r="AA13" s="87" t="str">
        <x:v>confirmed</x:v>
      </x:c>
      <x:c r="AB13" s="87" t="str"/>
      <x:c r="AC13" s="87" t="n">
        <x:v>1</x:v>
      </x:c>
      <x:c r="AD13" s="87" t="str">
        <x:v>MOEX disclosure</x:v>
      </x:c>
      <x:c r="AE13" s="94" t="str">
        <x:v>https://www.moex.com/n101468</x:v>
      </x:c>
      <x:c r="AF13" s="90" t="str">
        <x:v>MOEX disclosure</x:v>
      </x:c>
      <x:c r="AG13" s="95" t="str">
        <x:v>https://www.moex.com/n101468</x:v>
      </x:c>
      <x:c r="AH13" s="90" t="str">
        <x:v>О регистрации изменений в эмиссионные документы</x:v>
      </x:c>
      <x:c r="AI13" s="90" t="n">
        <x:v>46201.02903935185</x:v>
      </x:c>
      <x:c r="AJ13" s="90" t="n">
        <x:v>46202.42365740741</x:v>
      </x:c>
      <x:c r="AK13" s="90" t="str">
        <x:v>Screening record; verify against primary transaction documents.</x:v>
      </x:c>
    </x:row>
    <x:row r="14">
      <x:c r="A14" s="87" t="str">
        <x:v>DL-moex-101457</x:v>
      </x:c>
      <x:c r="B14" s="88" t="n">
        <x:v>46199</x:v>
      </x:c>
      <x:c r="C14" s="87" t="str">
        <x:v>DCM</x:v>
      </x:c>
      <x:c r="D14" s="87" t="str">
        <x:v>Confirmed</x:v>
      </x:c>
      <x:c r="E14" s="87" t="str">
        <x:v>approved</x:v>
      </x:c>
      <x:c r="F14" s="89" t="n">
        <x:v>75</x:v>
      </x:c>
      <x:c r="G14" s="90" t="str">
        <x:v>missing_issuer</x:v>
      </x:c>
      <x:c r="H14" s="87" t="str">
        <x:v>Not disclosed</x:v>
      </x:c>
      <x:c r="I14" s="87" t="str">
        <x:v>Not applicable</x:v>
      </x:c>
      <x:c r="J14" s="87" t="str">
        <x:v>Financials</x:v>
      </x:c>
      <x:c r="K14" s="87" t="str">
        <x:v>Not disclosed</x:v>
      </x:c>
      <x:c r="L14" s="91"/>
      <x:c r="M14" s="91"/>
      <x:c r="N14" s="87" t="str">
        <x:v>NOT DISCLOSED</x:v>
      </x:c>
      <x:c r="O14" s="92"/>
      <x:c r="P14" s="87" t="str">
        <x:v>Not applicable</x:v>
      </x:c>
      <x:c r="Q14" s="87" t="str">
        <x:v>Not disclosed</x:v>
      </x:c>
      <x:c r="R14" s="87"/>
      <x:c r="S14" s="87"/>
      <x:c r="T14" s="87" t="str">
        <x:v>Not disclosed</x:v>
      </x:c>
      <x:c r="U14" s="87" t="str">
        <x:v>Not disclosed</x:v>
      </x:c>
      <x:c r="V14" s="93"/>
      <x:c r="W14" s="93"/>
      <x:c r="X14" s="87" t="str">
        <x:v>Bonds</x:v>
      </x:c>
      <x:c r="Y14" s="87" t="str">
        <x:v>Not disclosed</x:v>
      </x:c>
      <x:c r="Z14" s="89" t="n">
        <x:v>6</x:v>
      </x:c>
      <x:c r="AA14" s="87" t="str">
        <x:v>confirmed</x:v>
      </x:c>
      <x:c r="AB14" s="87" t="str"/>
      <x:c r="AC14" s="87" t="n">
        <x:v>1</x:v>
      </x:c>
      <x:c r="AD14" s="87" t="str">
        <x:v>MOEX disclosure</x:v>
      </x:c>
      <x:c r="AE14" s="94" t="str">
        <x:v>https://www.moex.com/n101457</x:v>
      </x:c>
      <x:c r="AF14" s="90" t="str">
        <x:v>MOEX disclosure</x:v>
      </x:c>
      <x:c r="AG14" s="95" t="str">
        <x:v>https://www.moex.com/n101457</x:v>
      </x:c>
      <x:c r="AH14" s="90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  <x:c r="AI14" s="90" t="n">
        <x:v>46201.02903935185</x:v>
      </x:c>
      <x:c r="AJ14" s="90" t="n">
        <x:v>46201.65914351852</x:v>
      </x:c>
      <x:c r="AK14" s="90" t="str">
        <x:v>Screening record; verify against primary transaction documents.</x:v>
      </x:c>
    </x:row>
    <x:row r="15">
      <x:c r="A15" s="87" t="str">
        <x:v>DL-moex-101454</x:v>
      </x:c>
      <x:c r="B15" s="88" t="n">
        <x:v>46199</x:v>
      </x:c>
      <x:c r="C15" s="87" t="str">
        <x:v>DCM</x:v>
      </x:c>
      <x:c r="D15" s="87" t="str">
        <x:v>Confirmed</x:v>
      </x:c>
      <x:c r="E15" s="87" t="str">
        <x:v>approved</x:v>
      </x:c>
      <x:c r="F15" s="89" t="n">
        <x:v>75</x:v>
      </x:c>
      <x:c r="G15" s="90" t="str">
        <x:v>missing_issuer</x:v>
      </x:c>
      <x:c r="H15" s="87" t="str">
        <x:v>Not disclosed</x:v>
      </x:c>
      <x:c r="I15" s="87" t="str">
        <x:v>Not applicable</x:v>
      </x:c>
      <x:c r="J15" s="87" t="str">
        <x:v>Financials</x:v>
      </x:c>
      <x:c r="K15" s="87" t="str">
        <x:v>Russia</x:v>
      </x:c>
      <x:c r="L15" s="91"/>
      <x:c r="M15" s="91"/>
      <x:c r="N15" s="87" t="str">
        <x:v>NOT DISCLOSED</x:v>
      </x:c>
      <x:c r="O15" s="92" t="n">
        <x:v>1</x:v>
      </x:c>
      <x:c r="P15" s="87" t="str">
        <x:v>Not applicable</x:v>
      </x:c>
      <x:c r="Q15" s="87" t="str">
        <x:v>Not disclosed</x:v>
      </x:c>
      <x:c r="R15" s="87"/>
      <x:c r="S15" s="87"/>
      <x:c r="T15" s="87" t="str">
        <x:v>Not disclosed</x:v>
      </x:c>
      <x:c r="U15" s="87" t="str">
        <x:v>Not disclosed</x:v>
      </x:c>
      <x:c r="V15" s="93"/>
      <x:c r="W15" s="93"/>
      <x:c r="X15" s="87" t="str">
        <x:v>Bonds</x:v>
      </x:c>
      <x:c r="Y15" s="87" t="str">
        <x:v>Not disclosed</x:v>
      </x:c>
      <x:c r="Z15" s="89" t="n">
        <x:v>6</x:v>
      </x:c>
      <x:c r="AA15" s="87" t="str">
        <x:v>confirmed</x:v>
      </x:c>
      <x:c r="AB15" s="87" t="str"/>
      <x:c r="AC15" s="87" t="n">
        <x:v>1</x:v>
      </x:c>
      <x:c r="AD15" s="87" t="str">
        <x:v>MOEX disclosure</x:v>
      </x:c>
      <x:c r="AE15" s="94" t="str">
        <x:v>https://www.moex.com/n101454</x:v>
      </x:c>
      <x:c r="AF15" s="90" t="str">
        <x:v>MOEX disclosure</x:v>
      </x:c>
      <x:c r="AG15" s="95" t="str">
        <x:v>https://www.moex.com/n101454</x:v>
      </x:c>
      <x:c r="AH15" s="90" t="str">
        <x:v>О порядке приобретения облигаций серии 001P-04 ООО "АРЕНЗА-ПРО" с 29 июня 2026 год</x:v>
      </x:c>
      <x:c r="AI15" s="90" t="n">
        <x:v>46201.02903935185</x:v>
      </x:c>
      <x:c r="AJ15" s="90" t="n">
        <x:v>46201.65914351852</x:v>
      </x:c>
      <x:c r="AK15" s="90" t="str">
        <x:v>Screening record; verify against primary transaction documents.</x:v>
      </x:c>
    </x:row>
    <x:row r="16">
      <x:c r="A16" s="87" t="str">
        <x:v>DL-moex-101451</x:v>
      </x:c>
      <x:c r="B16" s="88" t="n">
        <x:v>46199</x:v>
      </x:c>
      <x:c r="C16" s="87" t="str">
        <x:v>DCM</x:v>
      </x:c>
      <x:c r="D16" s="87" t="str">
        <x:v>Confirmed</x:v>
      </x:c>
      <x:c r="E16" s="87" t="str">
        <x:v>rejected</x:v>
      </x:c>
      <x:c r="F16" s="89" t="n">
        <x:v>15</x:v>
      </x:c>
      <x:c r="G16" s="90" t="str">
        <x:v>non_transaction_or_technical_notice, missing_issuer</x:v>
      </x:c>
      <x:c r="H16" s="87" t="str">
        <x:v>Not disclosed</x:v>
      </x:c>
      <x:c r="I16" s="87" t="str">
        <x:v>Not applicable</x:v>
      </x:c>
      <x:c r="J16" s="87" t="str">
        <x:v>Not classified</x:v>
      </x:c>
      <x:c r="K16" s="87" t="str">
        <x:v>Not disclosed</x:v>
      </x:c>
      <x:c r="L16" s="91"/>
      <x:c r="M16" s="91"/>
      <x:c r="N16" s="87" t="str">
        <x:v>NOT DISCLOSED</x:v>
      </x:c>
      <x:c r="O16" s="92"/>
      <x:c r="P16" s="87" t="str">
        <x:v>Not applicable</x:v>
      </x:c>
      <x:c r="Q16" s="87" t="str">
        <x:v>Not disclosed</x:v>
      </x:c>
      <x:c r="R16" s="87"/>
      <x:c r="S16" s="87"/>
      <x:c r="T16" s="87" t="str">
        <x:v>Not disclosed</x:v>
      </x:c>
      <x:c r="U16" s="87" t="str">
        <x:v>Not disclosed</x:v>
      </x:c>
      <x:c r="V16" s="93"/>
      <x:c r="W16" s="93"/>
      <x:c r="X16" s="87" t="str">
        <x:v>Bonds</x:v>
      </x:c>
      <x:c r="Y16" s="87" t="str">
        <x:v>Not disclosed</x:v>
      </x:c>
      <x:c r="Z16" s="89" t="n">
        <x:v>6</x:v>
      </x:c>
      <x:c r="AA16" s="87" t="str">
        <x:v>confirmed</x:v>
      </x:c>
      <x:c r="AB16" s="87" t="str"/>
      <x:c r="AC16" s="87" t="n">
        <x:v>1</x:v>
      </x:c>
      <x:c r="AD16" s="87" t="str">
        <x:v>MOEX disclosure</x:v>
      </x:c>
      <x:c r="AE16" s="94" t="str">
        <x:v>https://www.moex.com/n101451</x:v>
      </x:c>
      <x:c r="AF16" s="90" t="str">
        <x:v>MOEX disclosure</x:v>
      </x:c>
      <x:c r="AG16" s="95" t="str">
        <x:v>https://www.moex.com/n101451</x:v>
      </x:c>
      <x:c r="AH16" s="90" t="str">
        <x:v>О проведении выкупа облигаций с 29 июня по 03 июля 2026 года</x:v>
      </x:c>
      <x:c r="AI16" s="90" t="n">
        <x:v>46201.02903935185</x:v>
      </x:c>
      <x:c r="AJ16" s="90" t="n">
        <x:v>46201.65914351852</x:v>
      </x:c>
      <x:c r="AK16" s="90" t="str">
        <x:v>Screening record; verify against primary transaction documents.</x:v>
      </x:c>
    </x:row>
    <x:row r="17">
      <x:c r="A17" s="87" t="str">
        <x:v>DL-moex-101450</x:v>
      </x:c>
      <x:c r="B17" s="88" t="n">
        <x:v>46199</x:v>
      </x:c>
      <x:c r="C17" s="87" t="str">
        <x:v>DCM</x:v>
      </x:c>
      <x:c r="D17" s="87" t="str">
        <x:v>Confirmed</x:v>
      </x:c>
      <x:c r="E17" s="87" t="str">
        <x:v>rejected</x:v>
      </x:c>
      <x:c r="F17" s="89" t="n">
        <x:v>15</x:v>
      </x:c>
      <x:c r="G17" s="90" t="str">
        <x:v>non_transaction_or_technical_notice, missing_issuer</x:v>
      </x:c>
      <x:c r="H17" s="87" t="str">
        <x:v>Not disclosed</x:v>
      </x:c>
      <x:c r="I17" s="87" t="str">
        <x:v>Not applicable</x:v>
      </x:c>
      <x:c r="J17" s="87" t="str">
        <x:v>Not classified</x:v>
      </x:c>
      <x:c r="K17" s="87" t="str">
        <x:v>Russia</x:v>
      </x:c>
      <x:c r="L17" s="91"/>
      <x:c r="M17" s="91"/>
      <x:c r="N17" s="87" t="str">
        <x:v>NOT DISCLOSED</x:v>
      </x:c>
      <x:c r="O17" s="92"/>
      <x:c r="P17" s="87" t="str">
        <x:v>Not applicable</x:v>
      </x:c>
      <x:c r="Q17" s="87" t="str">
        <x:v>Not disclosed</x:v>
      </x:c>
      <x:c r="R17" s="87"/>
      <x:c r="S17" s="87"/>
      <x:c r="T17" s="87" t="str">
        <x:v>Not disclosed</x:v>
      </x:c>
      <x:c r="U17" s="87" t="str">
        <x:v>Not disclosed</x:v>
      </x:c>
      <x:c r="V17" s="93"/>
      <x:c r="W17" s="93"/>
      <x:c r="X17" s="87" t="str">
        <x:v>Bonds</x:v>
      </x:c>
      <x:c r="Y17" s="87" t="str">
        <x:v>Not disclosed</x:v>
      </x:c>
      <x:c r="Z17" s="89" t="n">
        <x:v>6</x:v>
      </x:c>
      <x:c r="AA17" s="87" t="str">
        <x:v>confirmed</x:v>
      </x:c>
      <x:c r="AB17" s="87" t="str"/>
      <x:c r="AC17" s="87" t="n">
        <x:v>1</x:v>
      </x:c>
      <x:c r="AD17" s="87" t="str">
        <x:v>MOEX disclosure</x:v>
      </x:c>
      <x:c r="AE17" s="94" t="str">
        <x:v>https://www.moex.com/n101450</x:v>
      </x:c>
      <x:c r="AF17" s="90" t="str">
        <x:v>MOEX disclosure</x:v>
      </x:c>
      <x:c r="AG17" s="95" t="str">
        <x:v>https://www.moex.com/n101450</x:v>
      </x:c>
      <x:c r="AH17" s="90" t="str">
        <x:v>Дополнительные условия проведения торгов по выкупу облигаций серии 003Р-02 ООО "Концерн "РОССИУМ" 26 июня 2026 года</x:v>
      </x:c>
      <x:c r="AI17" s="90" t="n">
        <x:v>46201.02903935185</x:v>
      </x:c>
      <x:c r="AJ17" s="90" t="n">
        <x:v>46201.65914351852</x:v>
      </x:c>
      <x:c r="AK17" s="90" t="str">
        <x:v>Screening record; verify against primary transaction documents.</x:v>
      </x:c>
    </x:row>
    <x:row r="18">
      <x:c r="A18" s="87" t="str">
        <x:v>DL-bec65812ff9fcfae</x:v>
      </x:c>
      <x:c r="B18" s="88" t="n">
        <x:v>46197</x:v>
      </x:c>
      <x:c r="C18" s="87" t="str">
        <x:v>DCM</x:v>
      </x:c>
      <x:c r="D18" s="87" t="str">
        <x:v>Announced</x:v>
      </x:c>
      <x:c r="E18" s="87" t="str">
        <x:v>review</x:v>
      </x:c>
      <x:c r="F18" s="89" t="n">
        <x:v>75</x:v>
      </x:c>
      <x:c r="G18" s="90" t="str">
        <x:v>unverified_source</x:v>
      </x:c>
      <x:c r="H18" s="87" t="str">
        <x:v>Selectel</x:v>
      </x:c>
      <x:c r="I18" s="87" t="str">
        <x:v>Not applicable</x:v>
      </x:c>
      <x:c r="J18" s="87" t="str">
        <x:v>Not classified</x:v>
      </x:c>
      <x:c r="K18" s="87" t="str">
        <x:v>Russia</x:v>
      </x:c>
      <x:c r="L18" s="91" t="n">
        <x:v>5000000000</x:v>
      </x:c>
      <x:c r="M18" s="91"/>
      <x:c r="N18" s="87" t="str">
        <x:v>RUB</x:v>
      </x:c>
      <x:c r="O18" s="92"/>
      <x:c r="P18" s="87" t="str"/>
      <x:c r="Q18" s="87" t="str"/>
      <x:c r="R18" s="87"/>
      <x:c r="S18" s="87"/>
      <x:c r="T18" s="87" t="str"/>
      <x:c r="U18" s="87" t="str"/>
      <x:c r="V18" s="93"/>
      <x:c r="W18" s="93"/>
      <x:c r="X18" s="87" t="str">
        <x:v>Bonds</x:v>
      </x:c>
      <x:c r="Y18" s="87" t="str">
        <x:v>рефинансирования и инвестиций</x:v>
      </x:c>
      <x:c r="Z18" s="89" t="n">
        <x:v>4</x:v>
      </x:c>
      <x:c r="AA18" s="87" t="str">
        <x:v>unverified</x:v>
      </x:c>
      <x:c r="AB18" s="87" t="str"/>
      <x:c r="AC18" s="87" t="n">
        <x:v>1</x:v>
      </x:c>
      <x:c r="AD18" s="87" t="str">
        <x:v>ComNews.ru</x:v>
      </x:c>
      <x:c r="AE18" s="94" t="str">
        <x:v>https://www.comnews.ru/content/246003/2026-06-25/2026-w26/1008/selectel-razmestit-obligacii-5-mlrd-rub-dlya-refinansirovaniya-i-investiciy</x:v>
      </x:c>
      <x:c r="AF18" s="90" t="str">
        <x:v>ComNews.ru</x:v>
      </x:c>
      <x:c r="AG18" s="95" t="str">
        <x:v>https://www.comnews.ru/content/246003/2026-06-25/2026-w26/1008/selectel-razmestit-obligacii-5-mlrd-rub-dlya-refinansirovaniya-i-investiciy</x:v>
      </x:c>
      <x:c r="AH18" s="90" t="str">
        <x:v>Selectel разместит облигации на 5 млрд руб. для рефинансирования и инвестиций - ComNews.ru</x:v>
      </x:c>
      <x:c r="AI18" s="90" t="n">
        <x:v>46200.81899305555</x:v>
      </x:c>
      <x:c r="AJ18" s="90" t="n">
        <x:v>46200.83116898148</x:v>
      </x:c>
      <x:c r="AK18" s="90" t="str">
        <x:v>Screening record; verify against primary transaction documents.</x:v>
      </x:c>
    </x:row>
    <x:row r="19">
      <x:c r="A19" s="87" t="str">
        <x:v>DL-7a721642a53e0f1d</x:v>
      </x:c>
      <x:c r="B19" s="88" t="n">
        <x:v>46192</x:v>
      </x:c>
      <x:c r="C19" s="87" t="str">
        <x:v>DCM</x:v>
      </x:c>
      <x:c r="D19" s="87" t="str">
        <x:v>Issued</x:v>
      </x:c>
      <x:c r="E19" s="87" t="str">
        <x:v>approved</x:v>
      </x:c>
      <x:c r="F19" s="89" t="n">
        <x:v>100</x:v>
      </x:c>
      <x:c r="G19" s="90" t="str"/>
      <x:c r="H19" s="87" t="str">
        <x:v>Yandex</x:v>
      </x:c>
      <x:c r="I19" s="87" t="str">
        <x:v>Not applicable</x:v>
      </x:c>
      <x:c r="J19" s="87" t="str">
        <x:v>Technology</x:v>
      </x:c>
      <x:c r="K19" s="87" t="str">
        <x:v>Russia</x:v>
      </x:c>
      <x:c r="L19" s="91" t="n">
        <x:v>60000000000</x:v>
      </x:c>
      <x:c r="M19" s="91"/>
      <x:c r="N19" s="87" t="str">
        <x:v>RUB</x:v>
      </x:c>
      <x:c r="O19" s="92"/>
      <x:c r="P19" s="87" t="str">
        <x:v>Not applicable</x:v>
      </x:c>
      <x:c r="Q19" s="87" t="str">
        <x:v>Not disclosed</x:v>
      </x:c>
      <x:c r="R19" s="87"/>
      <x:c r="S19" s="87"/>
      <x:c r="T19" s="87" t="str">
        <x:v>Not disclosed</x:v>
      </x:c>
      <x:c r="U19" s="87" t="str">
        <x:v>Not disclosed</x:v>
      </x:c>
      <x:c r="V19" s="93"/>
      <x:c r="W19" s="93"/>
      <x:c r="X19" s="87" t="str">
        <x:v>Bonds</x:v>
      </x:c>
      <x:c r="Y19" s="87" t="str">
        <x:v>частных инвесторов Яндекса содержит информацию про бизнесы и технологии компании, а также географию присутствия, финансовые результаты, важные новости и многое другое о компании и её рынках</x:v>
      </x:c>
      <x:c r="Z19" s="89" t="n">
        <x:v>7</x:v>
      </x:c>
      <x:c r="AA19" s="87" t="str">
        <x:v>confirmed</x:v>
      </x:c>
      <x:c r="AB19" s="87" t="str">
        <x:v>YDEX</x:v>
      </x:c>
      <x:c r="AC19" s="87" t="n">
        <x:v>1</x:v>
      </x:c>
      <x:c r="AD19" s="87" t="str">
        <x:v>Yandex Investor Relations</x:v>
      </x:c>
      <x:c r="AE19" s="94" t="str">
        <x:v>https://ir.yandex.ru/press-releases?year=2026&amp;id=19-06-2026-03</x:v>
      </x:c>
      <x:c r="AF19" s="90" t="str">
        <x:v>Yandex Investor Relations</x:v>
      </x:c>
      <x:c r="AG19" s="95" t="str">
        <x:v>https://ir.yandex.ru/press-releases?year=2026&amp;id=19-06-2026-03</x:v>
      </x:c>
      <x:c r="AH19" s="90" t="str">
        <x:v>Яндекс разместил два выпуска биржевых облигаций на общую сумму 60 млрд рублей</x:v>
      </x:c>
      <x:c r="AI19" s="90" t="n">
        <x:v>46201.21556712963</x:v>
      </x:c>
      <x:c r="AJ19" s="90" t="n">
        <x:v>46202.46146990741</x:v>
      </x:c>
      <x:c r="AK19" s="90" t="str">
        <x:v>Screening record; verify against primary transaction documents.</x:v>
      </x:c>
    </x:row>
    <x:row r="20">
      <x:c r="A20" s="87" t="str">
        <x:v>DL-9092ffd6a36a0a81</x:v>
      </x:c>
      <x:c r="B20" s="88" t="n">
        <x:v>46183</x:v>
      </x:c>
      <x:c r="C20" s="87" t="str">
        <x:v>DCM</x:v>
      </x:c>
      <x:c r="D20" s="87" t="str">
        <x:v>Reported</x:v>
      </x:c>
      <x:c r="E20" s="87" t="str">
        <x:v>review</x:v>
      </x:c>
      <x:c r="F20" s="89" t="n">
        <x:v>67</x:v>
      </x:c>
      <x:c r="G20" s="90" t="str">
        <x:v>unverified_source, aggregator_link</x:v>
      </x:c>
      <x:c r="H20" s="87" t="str">
        <x:v>Норникель</x:v>
      </x:c>
      <x:c r="I20" s="87" t="str">
        <x:v>Not applicable</x:v>
      </x:c>
      <x:c r="J20" s="87" t="str">
        <x:v>Not classified</x:v>
      </x:c>
      <x:c r="K20" s="87" t="str">
        <x:v>Not disclosed</x:v>
      </x:c>
      <x:c r="L20" s="91" t="n">
        <x:v>3000000000</x:v>
      </x:c>
      <x:c r="M20" s="91"/>
      <x:c r="N20" s="87" t="str">
        <x:v>RUB</x:v>
      </x:c>
      <x:c r="O20" s="92"/>
      <x:c r="P20" s="87" t="str">
        <x:v>Not applicable</x:v>
      </x:c>
      <x:c r="Q20" s="87" t="str">
        <x:v>Not disclosed</x:v>
      </x:c>
      <x:c r="R20" s="87"/>
      <x:c r="S20" s="87"/>
      <x:c r="T20" s="87" t="str">
        <x:v>Not disclosed</x:v>
      </x:c>
      <x:c r="U20" s="87" t="str">
        <x:v>Not disclosed</x:v>
      </x:c>
      <x:c r="V20" s="93"/>
      <x:c r="W20" s="93"/>
      <x:c r="X20" s="87" t="str">
        <x:v>Bonds</x:v>
      </x:c>
      <x:c r="Y20" s="87" t="str">
        <x:v>Not disclosed</x:v>
      </x:c>
      <x:c r="Z20" s="89" t="n">
        <x:v>3</x:v>
      </x:c>
      <x:c r="AA20" s="87" t="str">
        <x:v>unverified</x:v>
      </x:c>
      <x:c r="AB20" s="87" t="str"/>
      <x:c r="AC20" s="87" t="n">
        <x:v>1</x:v>
      </x:c>
      <x:c r="AD20" s="87" t="str">
        <x:v>Интерфакс</x:v>
      </x:c>
      <x:c r="AE20" s="94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AF20" s="90" t="str">
        <x:v>Интерфакс</x:v>
      </x:c>
      <x:c r="AG20" s="95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AH20" s="90" t="str">
        <x:v>"Норникель" зафиксировал объем размещения облигаций на уровне 3 млрд юаней - Интерфакс</x:v>
      </x:c>
      <x:c r="AI20" s="90" t="n">
        <x:v>46201.18618055555</x:v>
      </x:c>
      <x:c r="AJ20" s="90" t="n">
        <x:v>46202.46146990741</x:v>
      </x:c>
      <x:c r="AK20" s="90" t="str">
        <x:v>Screening record; verify against primary transaction documents.</x:v>
      </x:c>
    </x:row>
    <x:row r="21">
      <x:c r="A21" s="87" t="str">
        <x:v>DL-f71ff729dc9f5af4</x:v>
      </x:c>
      <x:c r="B21" s="88" t="n">
        <x:v>46181</x:v>
      </x:c>
      <x:c r="C21" s="87" t="str">
        <x:v>DCM</x:v>
      </x:c>
      <x:c r="D21" s="87" t="str">
        <x:v>Reported</x:v>
      </x:c>
      <x:c r="E21" s="87" t="str">
        <x:v>review</x:v>
      </x:c>
      <x:c r="F21" s="89" t="n">
        <x:v>75</x:v>
      </x:c>
      <x:c r="G21" s="90" t="str">
        <x:v>unverified_source</x:v>
      </x:c>
      <x:c r="H21" s="87" t="str">
        <x:v>Yandex</x:v>
      </x:c>
      <x:c r="I21" s="87" t="str">
        <x:v>Not applicable</x:v>
      </x:c>
      <x:c r="J21" s="87" t="str">
        <x:v>Not classified</x:v>
      </x:c>
      <x:c r="K21" s="87" t="str">
        <x:v>Not disclosed</x:v>
      </x:c>
      <x:c r="L21" s="91"/>
      <x:c r="M21" s="91"/>
      <x:c r="N21" s="87" t="str">
        <x:v>NOT DISCLOSED</x:v>
      </x:c>
      <x:c r="O21" s="92"/>
      <x:c r="P21" s="87" t="str">
        <x:v>Not applicable</x:v>
      </x:c>
      <x:c r="Q21" s="87" t="str">
        <x:v>Not disclosed</x:v>
      </x:c>
      <x:c r="R21" s="87"/>
      <x:c r="S21" s="87"/>
      <x:c r="T21" s="87" t="str">
        <x:v>Not disclosed</x:v>
      </x:c>
      <x:c r="U21" s="87" t="str">
        <x:v>Not disclosed</x:v>
      </x:c>
      <x:c r="V21" s="93"/>
      <x:c r="W21" s="93"/>
      <x:c r="X21" s="87" t="str">
        <x:v>Bonds</x:v>
      </x:c>
      <x:c r="Y21" s="87" t="str">
        <x:v>Not disclosed</x:v>
      </x:c>
      <x:c r="Z21" s="89" t="n">
        <x:v>4</x:v>
      </x:c>
      <x:c r="AA21" s="87" t="str">
        <x:v>unverified</x:v>
      </x:c>
      <x:c r="AB21" s="87" t="str">
        <x:v>YDEX</x:v>
      </x:c>
      <x:c r="AC21" s="87" t="n">
        <x:v>1</x:v>
      </x:c>
      <x:c r="AD21" s="87" t="str">
        <x:v>Финам</x:v>
      </x:c>
      <x:c r="AE21" s="94" t="str">
        <x:v>https://www.finam.ru/publications/item/yandeks-vnov-vykhodit-na-dolgovoy-rynok-razbor-dvoynogo-razmeshcheniya-obligatsiy-20260608-1729/</x:v>
      </x:c>
      <x:c r="AF21" s="90" t="str">
        <x:v>Финам</x:v>
      </x:c>
      <x:c r="AG21" s="95" t="str">
        <x:v>https://www.finam.ru/publications/item/yandeks-vnov-vykhodit-na-dolgovoy-rynok-razbor-dvoynogo-razmeshcheniya-obligatsiy-20260608-1729/</x:v>
      </x:c>
      <x:c r="AH21" s="90" t="str">
        <x:v>«Яндекс» вновь выходит на долговой рынок: разбор двойного размещения облигаций - Финам</x:v>
      </x:c>
      <x:c r="AI21" s="90" t="n">
        <x:v>46201.18618055555</x:v>
      </x:c>
      <x:c r="AJ21" s="90" t="n">
        <x:v>46202.46146990741</x:v>
      </x:c>
      <x:c r="AK21" s="90" t="str">
        <x:v>Screening record; verify against primary transaction documents.</x:v>
      </x:c>
    </x:row>
    <x:row r="22">
      <x:c r="A22" s="87" t="str">
        <x:v>DL-c0e4b0469b5eb473</x:v>
      </x:c>
      <x:c r="B22" s="88" t="n">
        <x:v>46177</x:v>
      </x:c>
      <x:c r="C22" s="87" t="str">
        <x:v>M&amp;A</x:v>
      </x:c>
      <x:c r="D22" s="87" t="str">
        <x:v>Denied</x:v>
      </x:c>
      <x:c r="E22" s="87" t="str">
        <x:v>review</x:v>
      </x:c>
      <x:c r="F22" s="89" t="n">
        <x:v>65</x:v>
      </x:c>
      <x:c r="G22" s="90" t="str">
        <x:v>unverified_source, denied_or_disputed</x:v>
      </x:c>
      <x:c r="H22" s="87" t="str">
        <x:v>Ozon</x:v>
      </x:c>
      <x:c r="I22" s="87" t="str">
        <x:v>Sber</x:v>
      </x:c>
      <x:c r="J22" s="87" t="str">
        <x:v>Not classified</x:v>
      </x:c>
      <x:c r="K22" s="87" t="str">
        <x:v>Russia</x:v>
      </x:c>
      <x:c r="L22" s="91"/>
      <x:c r="M22" s="91"/>
      <x:c r="N22" s="87" t="str">
        <x:v>Not disclosed</x:v>
      </x:c>
      <x:c r="O22" s="92" t="n">
        <x:v>0.07</x:v>
      </x:c>
      <x:c r="P22" s="87" t="str">
        <x:v>Shares</x:v>
      </x:c>
      <x:c r="Q22" s="87" t="str">
        <x:v>Not disclosed</x:v>
      </x:c>
      <x:c r="R22" s="87"/>
      <x:c r="S22" s="87"/>
      <x:c r="T22" s="87" t="str">
        <x:v>Not disclosed</x:v>
      </x:c>
      <x:c r="U22" s="87" t="str">
        <x:v>Not disclosed</x:v>
      </x:c>
      <x:c r="V22" s="93"/>
      <x:c r="W22" s="93"/>
      <x:c r="X22" s="87" t="str">
        <x:v>Acquisition / disposal</x:v>
      </x:c>
      <x:c r="Y22" s="87" t="str">
        <x:v>Not disclosed</x:v>
      </x:c>
      <x:c r="Z22" s="89" t="n">
        <x:v>4</x:v>
      </x:c>
      <x:c r="AA22" s="87" t="str">
        <x:v>unverified</x:v>
      </x:c>
      <x:c r="AB22" s="87" t="str">
        <x:v>OZON</x:v>
      </x:c>
      <x:c r="AC22" s="87" t="n">
        <x:v>7</x:v>
      </x:c>
      <x:c r="AD22" s="87" t="str">
        <x:v>БКС Экспресс</x:v>
      </x:c>
      <x:c r="AE22" s="94" t="str">
        <x:v>https://bcs-express.ru/novosti-i-analitika/gref-oproverg-dogovorennost-sbera-o-pokupke-doli-v-ozone</x:v>
      </x:c>
      <x:c r="AF22" s="90" t="str">
        <x:v>БКС Экспресс | Сибирское информационное агентство | RB.ru | Альфа-Банк | Альфа-Банк | Финам | Интерфакс</x:v>
      </x:c>
      <x:c r="AG22" s="95" t="str">
        <x:v>https://bcs-express.ru/novosti-i-analitika/gref-oproverg-dogovorennost-sbera-o-pokupke-doli-v-ozone | https://sia.ru/?section\=484\&amp;action\=show_news\&amp;id\=16828609 | https://rb.ru/news/sber-mozhet-kupit-akcii-v-ozon-na-30-mlrd-investkompaniya-afk-sistema-otricaet-informaciyu-o-prodazhe-doli/ | https://alfabank.ru/alfa-investor/posts/t/2af58b47-265b-f111-91c6-0050569e1fd0/ | https://alfabank.ru/alfa-investor/posts/t/06d3da91-dd5a-f111-91c6-0050569e1fd0/ | https://www.finam.ru/publications/item/aktsii-afk-sistema-podskochili-na-7-na-soobshcheniyakh-o-pokupke-doli-ozona-strukturami-sbera-20260528-1910/ | 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AH22" s="90" t="str">
        <x:v>Греф опроверг договоренность Сбера о покупке доли в Озоне - БКС Экспресс</x:v>
      </x:c>
      <x:c r="AI22" s="90" t="n">
        <x:v>46201.18618055555</x:v>
      </x:c>
      <x:c r="AJ22" s="90" t="n">
        <x:v>46202.46146990741</x:v>
      </x:c>
      <x:c r="AK22" s="90" t="str">
        <x:v>Screening record; verify against primary transaction documents.</x:v>
      </x:c>
    </x:row>
    <x:row r="23">
      <x:c r="A23" s="87" t="str">
        <x:v>DL-5eba3b27a4e84dd3</x:v>
      </x:c>
      <x:c r="B23" s="88" t="n">
        <x:v>46175</x:v>
      </x:c>
      <x:c r="C23" s="87" t="str">
        <x:v>M&amp;A</x:v>
      </x:c>
      <x:c r="D23" s="87" t="str">
        <x:v>Closed</x:v>
      </x:c>
      <x:c r="E23" s="87" t="str">
        <x:v>approved</x:v>
      </x:c>
      <x:c r="F23" s="89" t="n">
        <x:v>100</x:v>
      </x:c>
      <x:c r="G23" s="90" t="str"/>
      <x:c r="H23" s="87" t="str">
        <x:v>Авто.ру</x:v>
      </x:c>
      <x:c r="I23" s="87" t="str">
        <x:v>Т-Технологии</x:v>
      </x:c>
      <x:c r="J23" s="87" t="str">
        <x:v>Technology</x:v>
      </x:c>
      <x:c r="K23" s="87" t="str">
        <x:v>Russia</x:v>
      </x:c>
      <x:c r="L23" s="91" t="n">
        <x:v>35000000000</x:v>
      </x:c>
      <x:c r="M23" s="91"/>
      <x:c r="N23" s="87" t="str">
        <x:v>NOT DISCLOSED</x:v>
      </x:c>
      <x:c r="O23" s="92"/>
      <x:c r="P23" s="87" t="str">
        <x:v>Not disclosed</x:v>
      </x:c>
      <x:c r="Q23" s="87" t="str">
        <x:v>Not disclosed</x:v>
      </x:c>
      <x:c r="R23" s="87"/>
      <x:c r="S23" s="87"/>
      <x:c r="T23" s="87" t="str">
        <x:v>Not disclosed</x:v>
      </x:c>
      <x:c r="U23" s="87" t="str">
        <x:v>Not disclosed</x:v>
      </x:c>
      <x:c r="V23" s="93"/>
      <x:c r="W23" s="93"/>
      <x:c r="X23" s="87" t="str">
        <x:v>Acquisition / disposal</x:v>
      </x:c>
      <x:c r="Y23" s="87" t="str">
        <x:v>частных инвесторов Яндекса содержит информацию про бизнесы и технологии компании, а также географию присутствия, финансовые результаты, важные новости и многое другое о компании и её рынках</x:v>
      </x:c>
      <x:c r="Z23" s="89" t="n">
        <x:v>9</x:v>
      </x:c>
      <x:c r="AA23" s="87" t="str">
        <x:v>confirmed</x:v>
      </x:c>
      <x:c r="AB23" s="87" t="str">
        <x:v>YDEX</x:v>
      </x:c>
      <x:c r="AC23" s="87" t="n">
        <x:v>3</x:v>
      </x:c>
      <x:c r="AD23" s="87" t="str">
        <x:v>Yandex Investor Relations</x:v>
      </x:c>
      <x:c r="AE23" s="94" t="str">
        <x:v>https://ir.yandex.ru/press-releases?year=2026&amp;id=02-06-2026-04</x:v>
      </x:c>
      <x:c r="AF23" s="90" t="str">
        <x:v>Yandex Investor Relations | БКС Экспресс | Финам</x:v>
      </x:c>
      <x:c r="AG23" s="95" t="str">
        <x:v>https://ir.yandex.ru/press-releases?year=2026&amp;id=02-06-2026-04 | https://bcs-express.ru/novosti-i-analitika/t-tekhnologii-zakryli-sdelku-po-pokupke-avto-ru-u-iandeksa | https://www.finam.ru/publications/item/yandeks-prodal-avtoru-t-tekhnologiyam-20260602-1802/</x:v>
      </x:c>
      <x:c r="AH23" s="90" t="str">
        <x:v>Яндекс закрыл сделку по продаже Авто.ру</x:v>
      </x:c>
      <x:c r="AI23" s="90" t="n">
        <x:v>46201.18618055555</x:v>
      </x:c>
      <x:c r="AJ23" s="90" t="n">
        <x:v>46202.46146990741</x:v>
      </x:c>
      <x:c r="AK23" s="90" t="str">
        <x:v>Screening record; verify against primary transaction documents.</x:v>
      </x:c>
    </x:row>
    <x:row r="24">
      <x:c r="A24" s="87" t="str">
        <x:v>DL-e08040bba3b952c1</x:v>
      </x:c>
      <x:c r="B24" s="88" t="n">
        <x:v>46170</x:v>
      </x:c>
      <x:c r="C24" s="87" t="str">
        <x:v>M&amp;A</x:v>
      </x:c>
      <x:c r="D24" s="87" t="str">
        <x:v>Reported</x:v>
      </x:c>
      <x:c r="E24" s="87" t="str">
        <x:v>review</x:v>
      </x:c>
      <x:c r="F24" s="89" t="n">
        <x:v>75</x:v>
      </x:c>
      <x:c r="G24" s="90" t="str">
        <x:v>unverified_source</x:v>
      </x:c>
      <x:c r="H24" s="87" t="str">
        <x:v>Островок</x:v>
      </x:c>
      <x:c r="I24" s="87" t="str">
        <x:v>Yandex</x:v>
      </x:c>
      <x:c r="J24" s="87" t="str">
        <x:v>Not classified</x:v>
      </x:c>
      <x:c r="K24" s="87" t="str">
        <x:v>Not disclosed</x:v>
      </x:c>
      <x:c r="L24" s="91"/>
      <x:c r="M24" s="91"/>
      <x:c r="N24" s="87" t="str">
        <x:v>NOT DISCLOSED</x:v>
      </x:c>
      <x:c r="O24" s="92"/>
      <x:c r="P24" s="87" t="str">
        <x:v>Not disclosed</x:v>
      </x:c>
      <x:c r="Q24" s="87" t="str">
        <x:v>Not disclosed</x:v>
      </x:c>
      <x:c r="R24" s="87"/>
      <x:c r="S24" s="87"/>
      <x:c r="T24" s="87" t="str">
        <x:v>Not disclosed</x:v>
      </x:c>
      <x:c r="U24" s="87" t="str">
        <x:v>Not disclosed</x:v>
      </x:c>
      <x:c r="V24" s="93"/>
      <x:c r="W24" s="93"/>
      <x:c r="X24" s="87" t="str">
        <x:v>Acquisition / disposal</x:v>
      </x:c>
      <x:c r="Y24" s="87" t="str">
        <x:v>Not disclosed</x:v>
      </x:c>
      <x:c r="Z24" s="89" t="n">
        <x:v>4</x:v>
      </x:c>
      <x:c r="AA24" s="87" t="str">
        <x:v>unverified</x:v>
      </x:c>
      <x:c r="AB24" s="87" t="str">
        <x:v>YDEX</x:v>
      </x:c>
      <x:c r="AC24" s="87" t="n">
        <x:v>1</x:v>
      </x:c>
      <x:c r="AD24" s="87" t="str">
        <x:v>Финам</x:v>
      </x:c>
      <x:c r="AE24" s="94" t="str">
        <x:v>https://www.finam.ru/publications/item/yandeks-stal-osnovnym-pretendentom-na-pokupku-ostrovka-20260528-0928/</x:v>
      </x:c>
      <x:c r="AF24" s="90" t="str">
        <x:v>Финам</x:v>
      </x:c>
      <x:c r="AG24" s="95" t="str">
        <x:v>https://www.finam.ru/publications/item/yandeks-stal-osnovnym-pretendentom-na-pokupku-ostrovka-20260528-0928/</x:v>
      </x:c>
      <x:c r="AH24" s="90" t="str">
        <x:v>"Яндекс" стал основным претендентом на покупку "Островка" - Финам</x:v>
      </x:c>
      <x:c r="AI24" s="90" t="n">
        <x:v>46201.18618055555</x:v>
      </x:c>
      <x:c r="AJ24" s="90" t="n">
        <x:v>46202.46146990741</x:v>
      </x:c>
      <x:c r="AK24" s="90" t="str">
        <x:v>Screening record; verify against primary transaction documents.</x:v>
      </x:c>
    </x:row>
    <x:row r="25">
      <x:c r="A25" s="87" t="str">
        <x:v>DL-54c26c1e05d520bd</x:v>
      </x:c>
      <x:c r="B25" s="88" t="n">
        <x:v>46167</x:v>
      </x:c>
      <x:c r="C25" s="87" t="str">
        <x:v>M&amp;A</x:v>
      </x:c>
      <x:c r="D25" s="87" t="str">
        <x:v>Reported</x:v>
      </x:c>
      <x:c r="E25" s="87" t="str">
        <x:v>rejected</x:v>
      </x:c>
      <x:c r="F25" s="89" t="n">
        <x:v>0</x:v>
      </x:c>
      <x:c r="G25" s="90" t="str">
        <x:v>non_transaction_or_technical_notice, unverified_source, missing_target</x:v>
      </x:c>
      <x:c r="H25" s="87" t="str">
        <x:v>Not disclosed</x:v>
      </x:c>
      <x:c r="I25" s="87" t="str">
        <x:v>Ozon</x:v>
      </x:c>
      <x:c r="J25" s="87" t="str">
        <x:v>Not classified</x:v>
      </x:c>
      <x:c r="K25" s="87" t="str">
        <x:v>Not disclosed</x:v>
      </x:c>
      <x:c r="L25" s="91"/>
      <x:c r="M25" s="91"/>
      <x:c r="N25" s="87" t="str">
        <x:v>NOT DISCLOSED</x:v>
      </x:c>
      <x:c r="O25" s="92"/>
      <x:c r="P25" s="87" t="str">
        <x:v>Shares</x:v>
      </x:c>
      <x:c r="Q25" s="87" t="str">
        <x:v>Not disclosed</x:v>
      </x:c>
      <x:c r="R25" s="87"/>
      <x:c r="S25" s="87"/>
      <x:c r="T25" s="87" t="str">
        <x:v>Not disclosed</x:v>
      </x:c>
      <x:c r="U25" s="87" t="str">
        <x:v>Not disclosed</x:v>
      </x:c>
      <x:c r="V25" s="93"/>
      <x:c r="W25" s="93"/>
      <x:c r="X25" s="87" t="str">
        <x:v>Acquisition / disposal</x:v>
      </x:c>
      <x:c r="Y25" s="87" t="str">
        <x:v>Not disclosed</x:v>
      </x:c>
      <x:c r="Z25" s="89" t="n">
        <x:v>4</x:v>
      </x:c>
      <x:c r="AA25" s="87" t="str">
        <x:v>unverified</x:v>
      </x:c>
      <x:c r="AB25" s="87" t="str">
        <x:v>OZON</x:v>
      </x:c>
      <x:c r="AC25" s="87" t="n">
        <x:v>1</x:v>
      </x:c>
      <x:c r="AD25" s="87" t="str">
        <x:v>Финам</x:v>
      </x:c>
      <x:c r="AE25" s="94" t="str">
        <x:v>https://www.finam.ru/publications/item/posledniy-den-pokupki-aktsiy-ozona-pod-dividendy-25-maya-20260525-0652/</x:v>
      </x:c>
      <x:c r="AF25" s="90" t="str">
        <x:v>Финам</x:v>
      </x:c>
      <x:c r="AG25" s="95" t="str">
        <x:v>https://www.finam.ru/publications/item/posledniy-den-pokupki-aktsiy-ozona-pod-dividendy-25-maya-20260525-0652/</x:v>
      </x:c>
      <x:c r="AH25" s="90" t="str">
        <x:v>25.05.26 Последний день покупки акций “Озона” под дивиденды - 25 мая - Финам</x:v>
      </x:c>
      <x:c r="AI25" s="90" t="n">
        <x:v>46201.18618055555</x:v>
      </x:c>
      <x:c r="AJ25" s="90" t="n">
        <x:v>46201.65914351852</x:v>
      </x:c>
      <x:c r="AK25" s="90" t="str">
        <x:v>Screening record; verify against primary transaction documents.</x:v>
      </x:c>
    </x:row>
    <x:row r="26">
      <x:c r="A26" s="87" t="str">
        <x:v>DL-71b6decbb78f4293</x:v>
      </x:c>
      <x:c r="B26" s="88" t="n">
        <x:v>46162</x:v>
      </x:c>
      <x:c r="C26" s="87" t="str">
        <x:v>ECM</x:v>
      </x:c>
      <x:c r="D26" s="87" t="str">
        <x:v>Reported</x:v>
      </x:c>
      <x:c r="E26" s="87" t="str">
        <x:v>rejected</x:v>
      </x:c>
      <x:c r="F26" s="89" t="n">
        <x:v>15</x:v>
      </x:c>
      <x:c r="G26" s="90" t="str">
        <x:v>non_transaction_or_technical_notice, unverified_source</x:v>
      </x:c>
      <x:c r="H26" s="87" t="str">
        <x:v>Ozon</x:v>
      </x:c>
      <x:c r="I26" s="87" t="str">
        <x:v>Not applicable</x:v>
      </x:c>
      <x:c r="J26" s="87" t="str">
        <x:v>Not classified</x:v>
      </x:c>
      <x:c r="K26" s="87" t="str">
        <x:v>Not disclosed</x:v>
      </x:c>
      <x:c r="L26" s="91"/>
      <x:c r="M26" s="91"/>
      <x:c r="N26" s="87" t="str">
        <x:v>NOT DISCLOSED</x:v>
      </x:c>
      <x:c r="O26" s="92"/>
      <x:c r="P26" s="87" t="str">
        <x:v>Not applicable</x:v>
      </x:c>
      <x:c r="Q26" s="87" t="str">
        <x:v>Not disclosed</x:v>
      </x:c>
      <x:c r="R26" s="87"/>
      <x:c r="S26" s="87"/>
      <x:c r="T26" s="87" t="str">
        <x:v>Not disclosed</x:v>
      </x:c>
      <x:c r="U26" s="87" t="str">
        <x:v>Not disclosed</x:v>
      </x:c>
      <x:c r="V26" s="93"/>
      <x:c r="W26" s="93"/>
      <x:c r="X26" s="87" t="str">
        <x:v>Equity issuance</x:v>
      </x:c>
      <x:c r="Y26" s="87" t="str">
        <x:v>Not disclosed</x:v>
      </x:c>
      <x:c r="Z26" s="89" t="n">
        <x:v>4</x:v>
      </x:c>
      <x:c r="AA26" s="87" t="str">
        <x:v>unverified</x:v>
      </x:c>
      <x:c r="AB26" s="87" t="str">
        <x:v>OZON</x:v>
      </x:c>
      <x:c r="AC26" s="87" t="n">
        <x:v>1</x:v>
      </x:c>
      <x:c r="AD26" s="87" t="str">
        <x:v>БКС Экспресс</x:v>
      </x:c>
      <x:c r="AE26" s="94" t="str">
        <x:v>https://bcs-express.ru/novosti-i-analitika/aktsionery-ozon-utverdili-final-nye-dividendy-za-2025</x:v>
      </x:c>
      <x:c r="AF26" s="90" t="str">
        <x:v>БКС Экспресс</x:v>
      </x:c>
      <x:c r="AG26" s="95" t="str">
        <x:v>https://bcs-express.ru/novosti-i-analitika/aktsionery-ozon-utverdili-final-nye-dividendy-za-2025</x:v>
      </x:c>
      <x:c r="AH26" s="90" t="str">
        <x:v>Акционеры Озона утвердили финальные дивиденды за 2025 - БКС Экспресс</x:v>
      </x:c>
      <x:c r="AI26" s="90" t="n">
        <x:v>46201.65914351852</x:v>
      </x:c>
      <x:c r="AJ26" s="90" t="n">
        <x:v>46201.65914351852</x:v>
      </x:c>
      <x:c r="AK26" s="90" t="str">
        <x:v>Screening record; verify against primary transaction documents.</x:v>
      </x:c>
    </x:row>
    <x:row r="27">
      <x:c r="A27" s="87" t="str">
        <x:v>DL-38b5154e2b53df8c</x:v>
      </x:c>
      <x:c r="B27" s="88" t="n">
        <x:v>46157</x:v>
      </x:c>
      <x:c r="C27" s="87" t="str">
        <x:v>ECM</x:v>
      </x:c>
      <x:c r="D27" s="87" t="str">
        <x:v>Reported</x:v>
      </x:c>
      <x:c r="E27" s="87" t="str">
        <x:v>rejected</x:v>
      </x:c>
      <x:c r="F27" s="89" t="n">
        <x:v>15</x:v>
      </x:c>
      <x:c r="G27" s="90" t="str">
        <x:v>non_transaction_or_technical_notice, unverified_source</x:v>
      </x:c>
      <x:c r="H27" s="87" t="str">
        <x:v>Ozon</x:v>
      </x:c>
      <x:c r="I27" s="87" t="str">
        <x:v>Not applicable</x:v>
      </x:c>
      <x:c r="J27" s="87" t="str">
        <x:v>Financials</x:v>
      </x:c>
      <x:c r="K27" s="87" t="str">
        <x:v>Not disclosed</x:v>
      </x:c>
      <x:c r="L27" s="91"/>
      <x:c r="M27" s="91"/>
      <x:c r="N27" s="87" t="str">
        <x:v>NOT DISCLOSED</x:v>
      </x:c>
      <x:c r="O27" s="92"/>
      <x:c r="P27" s="87" t="str">
        <x:v>Not applicable</x:v>
      </x:c>
      <x:c r="Q27" s="87" t="str">
        <x:v>Not disclosed</x:v>
      </x:c>
      <x:c r="R27" s="87"/>
      <x:c r="S27" s="87"/>
      <x:c r="T27" s="87" t="str">
        <x:v>Not disclosed</x:v>
      </x:c>
      <x:c r="U27" s="87" t="str">
        <x:v>Not disclosed</x:v>
      </x:c>
      <x:c r="V27" s="93"/>
      <x:c r="W27" s="93"/>
      <x:c r="X27" s="87" t="str">
        <x:v>Equity issuance</x:v>
      </x:c>
      <x:c r="Y27" s="87" t="str">
        <x:v>Not disclosed</x:v>
      </x:c>
      <x:c r="Z27" s="89" t="n">
        <x:v>4</x:v>
      </x:c>
      <x:c r="AA27" s="87" t="str">
        <x:v>unverified</x:v>
      </x:c>
      <x:c r="AB27" s="87" t="str">
        <x:v>OZON</x:v>
      </x:c>
      <x:c r="AC27" s="87" t="n">
        <x:v>1</x:v>
      </x:c>
      <x:c r="AD27" s="87" t="str">
        <x:v>Финам</x:v>
      </x:c>
      <x:c r="AE27" s="94" t="str">
        <x:v>https://www.finam.ru/publications/item/otchetnosti-zaymera-bsp-i-sovkombanka-dividendnyy-vopros-u-ozona-i-md-medikal-osnovnye-sobytiya-15-maya-20260515-0900/</x:v>
      </x:c>
      <x:c r="AF27" s="90" t="str">
        <x:v>Финам</x:v>
      </x:c>
      <x:c r="AG27" s="95" t="str">
        <x:v>https://www.finam.ru/publications/item/otchetnosti-zaymera-bsp-i-sovkombanka-dividendnyy-vopros-u-ozona-i-md-medikal-osnovnye-sobytiya-15-maya-20260515-0900/</x:v>
      </x:c>
      <x:c r="AH27" s="90" t="str">
        <x:v>Отчетности «Займера», БСП и «Совкомбанка», дивидендный вопрос у «Озона» и «МД Медикал» - основные события 15 мая 15.05.2026 - Финам</x:v>
      </x:c>
      <x:c r="AI27" s="90" t="n">
        <x:v>46201.18618055555</x:v>
      </x:c>
      <x:c r="AJ27" s="90" t="n">
        <x:v>46201.65914351852</x:v>
      </x:c>
      <x:c r="AK27" s="90" t="str">
        <x:v>Screening record; verify against primary transaction documents.</x:v>
      </x:c>
    </x:row>
    <x:row r="28">
      <x:c r="A28" s="87" t="str">
        <x:v>DL-32f044efd41bc454</x:v>
      </x:c>
      <x:c r="B28" s="88" t="n">
        <x:v>46157</x:v>
      </x:c>
      <x:c r="C28" s="87" t="str">
        <x:v>M&amp;A</x:v>
      </x:c>
      <x:c r="D28" s="87" t="str">
        <x:v>Reported</x:v>
      </x:c>
      <x:c r="E28" s="87" t="str">
        <x:v>rejected</x:v>
      </x:c>
      <x:c r="F28" s="89" t="n">
        <x:v>0</x:v>
      </x:c>
      <x:c r="G28" s="90" t="str">
        <x:v>non_transaction_or_technical_notice, unverified_source, aggregator_link, missing_target</x:v>
      </x:c>
      <x:c r="H28" s="87" t="str">
        <x:v>Not disclosed</x:v>
      </x:c>
      <x:c r="I28" s="87" t="str">
        <x:v>VKCO</x:v>
      </x:c>
      <x:c r="J28" s="87" t="str">
        <x:v>Not classified</x:v>
      </x:c>
      <x:c r="K28" s="87" t="str">
        <x:v>Not disclosed</x:v>
      </x:c>
      <x:c r="L28" s="91"/>
      <x:c r="M28" s="91"/>
      <x:c r="N28" s="87" t="str">
        <x:v>NOT DISCLOSED</x:v>
      </x:c>
      <x:c r="O28" s="92"/>
      <x:c r="P28" s="87" t="str">
        <x:v>Shares</x:v>
      </x:c>
      <x:c r="Q28" s="87" t="str">
        <x:v>Not disclosed</x:v>
      </x:c>
      <x:c r="R28" s="87"/>
      <x:c r="S28" s="87"/>
      <x:c r="T28" s="87" t="str">
        <x:v>Not disclosed</x:v>
      </x:c>
      <x:c r="U28" s="87" t="str">
        <x:v>Not disclosed</x:v>
      </x:c>
      <x:c r="V28" s="93"/>
      <x:c r="W28" s="93"/>
      <x:c r="X28" s="87" t="str">
        <x:v>Acquisition / disposal</x:v>
      </x:c>
      <x:c r="Y28" s="87" t="str">
        <x:v>Not disclosed</x:v>
      </x:c>
      <x:c r="Z28" s="89" t="n">
        <x:v>3</x:v>
      </x:c>
      <x:c r="AA28" s="87" t="str">
        <x:v>unverified</x:v>
      </x:c>
      <x:c r="AB28" s="87" t="str"/>
      <x:c r="AC28" s="87" t="n">
        <x:v>1</x:v>
      </x:c>
      <x:c r="AD28" s="87" t="str">
        <x:v>Интерфакс</x:v>
      </x:c>
      <x:c r="AE28" s="94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AF28" s="90" t="str">
        <x:v>Интерфакс</x:v>
      </x:c>
      <x:c r="AG28" s="95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AH28" s="90" t="str">
        <x:v>Трамп в I квартале совершал сделки с акциями Nvidia и Boeing - Интерфакс</x:v>
      </x:c>
      <x:c r="AI28" s="90" t="n">
        <x:v>46201.18618055555</x:v>
      </x:c>
      <x:c r="AJ28" s="90" t="n">
        <x:v>46202.46146990741</x:v>
      </x:c>
      <x:c r="AK28" s="90" t="str">
        <x:v>Screening record; verify against primary transaction documents.</x:v>
      </x:c>
    </x:row>
    <x:row r="29">
      <x:c r="A29" s="87" t="str">
        <x:v>DL-71608263fecb5e53</x:v>
      </x:c>
      <x:c r="B29" s="88" t="n">
        <x:v>46150</x:v>
      </x:c>
      <x:c r="C29" s="87" t="str">
        <x:v>DCM</x:v>
      </x:c>
      <x:c r="D29" s="87" t="str">
        <x:v>Reported</x:v>
      </x:c>
      <x:c r="E29" s="87" t="str">
        <x:v>rejected</x:v>
      </x:c>
      <x:c r="F29" s="89" t="n">
        <x:v>7</x:v>
      </x:c>
      <x:c r="G29" s="90" t="str">
        <x:v>non_transaction_or_technical_notice, unverified_source, aggregator_link</x:v>
      </x:c>
      <x:c r="H29" s="87" t="str">
        <x:v>Делимобиль</x:v>
      </x:c>
      <x:c r="I29" s="87" t="str">
        <x:v>Not applicable</x:v>
      </x:c>
      <x:c r="J29" s="87" t="str">
        <x:v>Not classified</x:v>
      </x:c>
      <x:c r="K29" s="87" t="str">
        <x:v>Russia</x:v>
      </x:c>
      <x:c r="L29" s="91" t="n">
        <x:v>1900000000</x:v>
      </x:c>
      <x:c r="M29" s="91"/>
      <x:c r="N29" s="87" t="str">
        <x:v>RUB</x:v>
      </x:c>
      <x:c r="O29" s="92"/>
      <x:c r="P29" s="87" t="str">
        <x:v>Not applicable</x:v>
      </x:c>
      <x:c r="Q29" s="87" t="str">
        <x:v>Not disclosed</x:v>
      </x:c>
      <x:c r="R29" s="87"/>
      <x:c r="S29" s="87"/>
      <x:c r="T29" s="87" t="str">
        <x:v>Not disclosed</x:v>
      </x:c>
      <x:c r="U29" s="87" t="str">
        <x:v>Not disclosed</x:v>
      </x:c>
      <x:c r="V29" s="93"/>
      <x:c r="W29" s="93"/>
      <x:c r="X29" s="87" t="str">
        <x:v>Bonds</x:v>
      </x:c>
      <x:c r="Y29" s="87" t="str">
        <x:v>погашения выпуска облигаций на 1,9 млрд рублей</x:v>
      </x:c>
      <x:c r="Z29" s="89" t="n">
        <x:v>3</x:v>
      </x:c>
      <x:c r="AA29" s="87" t="str">
        <x:v>unverified</x:v>
      </x:c>
      <x:c r="AB29" s="87" t="str"/>
      <x:c r="AC29" s="87" t="n">
        <x:v>1</x:v>
      </x:c>
      <x:c r="AD29" s="87" t="str">
        <x:v>Интерфакс</x:v>
      </x:c>
      <x:c r="AE29" s="94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AF29" s="90" t="str">
        <x:v>Интерфакс</x:v>
      </x:c>
      <x:c r="AG29" s="95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AH29" s="90" t="str">
        <x:v>"Делимобиль" перечислил в НРД средства для погашения выпуска облигаций на 1,9 млрд рублей - Интерфакс</x:v>
      </x:c>
      <x:c r="AI29" s="90" t="n">
        <x:v>46201.18618055555</x:v>
      </x:c>
      <x:c r="AJ29" s="90" t="n">
        <x:v>46202.46146990741</x:v>
      </x:c>
      <x:c r="AK29" s="90" t="str">
        <x:v>Screening record; verify against primary transaction documents.</x:v>
      </x:c>
    </x:row>
    <x:row r="30">
      <x:c r="A30" s="87" t="str">
        <x:v>DL-2848bdd8b067faa2</x:v>
      </x:c>
      <x:c r="B30" s="88" t="n">
        <x:v>46147</x:v>
      </x:c>
      <x:c r="C30" s="87" t="str">
        <x:v>ECM</x:v>
      </x:c>
      <x:c r="D30" s="87" t="str">
        <x:v>Reported</x:v>
      </x:c>
      <x:c r="E30" s="87" t="str">
        <x:v>review</x:v>
      </x:c>
      <x:c r="F30" s="89" t="n">
        <x:v>75</x:v>
      </x:c>
      <x:c r="G30" s="90" t="str">
        <x:v>unverified_source</x:v>
      </x:c>
      <x:c r="H30" s="87" t="str">
        <x:v>Yandex</x:v>
      </x:c>
      <x:c r="I30" s="87" t="str">
        <x:v>Not applicable</x:v>
      </x:c>
      <x:c r="J30" s="87" t="str">
        <x:v>Not classified</x:v>
      </x:c>
      <x:c r="K30" s="87" t="str">
        <x:v>Russia</x:v>
      </x:c>
      <x:c r="L30" s="91" t="n">
        <x:v>50000000000</x:v>
      </x:c>
      <x:c r="M30" s="91"/>
      <x:c r="N30" s="87" t="str">
        <x:v>RUB</x:v>
      </x:c>
      <x:c r="O30" s="92"/>
      <x:c r="P30" s="87" t="str">
        <x:v>Not applicable</x:v>
      </x:c>
      <x:c r="Q30" s="87" t="str">
        <x:v>Not disclosed</x:v>
      </x:c>
      <x:c r="R30" s="87"/>
      <x:c r="S30" s="87"/>
      <x:c r="T30" s="87" t="str">
        <x:v>Not disclosed</x:v>
      </x:c>
      <x:c r="U30" s="87" t="str">
        <x:v>Not disclosed</x:v>
      </x:c>
      <x:c r="V30" s="93"/>
      <x:c r="W30" s="93"/>
      <x:c r="X30" s="87" t="str">
        <x:v>Equity issuance</x:v>
      </x:c>
      <x:c r="Y30" s="87" t="str">
        <x:v>Not disclosed</x:v>
      </x:c>
      <x:c r="Z30" s="89" t="n">
        <x:v>4</x:v>
      </x:c>
      <x:c r="AA30" s="87" t="str">
        <x:v>unverified</x:v>
      </x:c>
      <x:c r="AB30" s="87" t="str">
        <x:v>YDEX</x:v>
      </x:c>
      <x:c r="AC30" s="87" t="n">
        <x:v>1</x:v>
      </x:c>
      <x:c r="AD30" s="87" t="str">
        <x:v>БКС Экспресс</x:v>
      </x:c>
      <x:c r="AE30" s="94" t="str">
        <x:v>https://bcs-express.ru/novosti-i-analitika/iandeks-odobril-vykup-aktsii-na-50-mlrd-rublei</x:v>
      </x:c>
      <x:c r="AF30" s="90" t="str">
        <x:v>БКС Экспресс</x:v>
      </x:c>
      <x:c r="AG30" s="95" t="str">
        <x:v>https://bcs-express.ru/novosti-i-analitika/iandeks-odobril-vykup-aktsii-na-50-mlrd-rublei</x:v>
      </x:c>
      <x:c r="AH30" s="90" t="str">
        <x:v>Яндекс одобрил выкуп акций на 50 млрд рублей - БКС Экспресс</x:v>
      </x:c>
      <x:c r="AI30" s="90" t="n">
        <x:v>46201.18618055555</x:v>
      </x:c>
      <x:c r="AJ30" s="90" t="n">
        <x:v>46202.46146990741</x:v>
      </x:c>
      <x:c r="AK30" s="90" t="str">
        <x:v>Screening record; verify against primary transaction documents.</x:v>
      </x:c>
    </x:row>
    <x:row r="31">
      <x:c r="A31" s="87" t="str">
        <x:v>DL-3d4a31cc3b7936d0</x:v>
      </x:c>
      <x:c r="B31" s="88" t="n">
        <x:v>46146</x:v>
      </x:c>
      <x:c r="C31" s="87" t="str">
        <x:v>ECM</x:v>
      </x:c>
      <x:c r="D31" s="87" t="str">
        <x:v>Reported</x:v>
      </x:c>
      <x:c r="E31" s="87" t="str">
        <x:v>rejected</x:v>
      </x:c>
      <x:c r="F31" s="89" t="n">
        <x:v>15</x:v>
      </x:c>
      <x:c r="G31" s="90" t="str">
        <x:v>non_transaction_or_technical_notice, unverified_source</x:v>
      </x:c>
      <x:c r="H31" s="87" t="str">
        <x:v>Yandex</x:v>
      </x:c>
      <x:c r="I31" s="87" t="str">
        <x:v>Not applicable</x:v>
      </x:c>
      <x:c r="J31" s="87" t="str">
        <x:v>Energy</x:v>
      </x:c>
      <x:c r="K31" s="87" t="str">
        <x:v>Not disclosed</x:v>
      </x:c>
      <x:c r="L31" s="91"/>
      <x:c r="M31" s="91"/>
      <x:c r="N31" s="87" t="str">
        <x:v>NOT DISCLOSED</x:v>
      </x:c>
      <x:c r="O31" s="92"/>
      <x:c r="P31" s="87" t="str">
        <x:v>Not applicable</x:v>
      </x:c>
      <x:c r="Q31" s="87" t="str">
        <x:v>Not disclosed</x:v>
      </x:c>
      <x:c r="R31" s="87"/>
      <x:c r="S31" s="87"/>
      <x:c r="T31" s="87" t="str">
        <x:v>Not disclosed</x:v>
      </x:c>
      <x:c r="U31" s="87" t="str">
        <x:v>Not disclosed</x:v>
      </x:c>
      <x:c r="V31" s="93"/>
      <x:c r="W31" s="93"/>
      <x:c r="X31" s="87" t="str">
        <x:v>Equity issuance</x:v>
      </x:c>
      <x:c r="Y31" s="87" t="str">
        <x:v>Not disclosed</x:v>
      </x:c>
      <x:c r="Z31" s="89" t="n">
        <x:v>4</x:v>
      </x:c>
      <x:c r="AA31" s="87" t="str">
        <x:v>unverified</x:v>
      </x:c>
      <x:c r="AB31" s="87" t="str">
        <x:v>YDEX, OZON</x:v>
      </x:c>
      <x:c r="AC31" s="87" t="n">
        <x:v>1</x:v>
      </x:c>
      <x:c r="AD31" s="87" t="str">
        <x:v>SberCIB</x:v>
      </x:c>
      <x:c r="AE31" s="94" t="str">
        <x:v>https://sbercib.ru/publication/rezultati-ozon-dom-rf-dividendi-yandeksa-i-tatnefti-i-drugie-novosti-nedeli</x:v>
      </x:c>
      <x:c r="AF31" s="90" t="str">
        <x:v>SberCIB</x:v>
      </x:c>
      <x:c r="AG31" s="95" t="str">
        <x:v>https://sbercib.ru/publication/rezultati-ozon-dom-rf-dividendi-yandeksa-i-tatnefti-i-drugie-novosti-nedeli</x:v>
      </x:c>
      <x:c r="AH31" s="90" t="str">
        <x:v>Результаты Ozon, ДОМ. РФ, дивиденды Яндекса и Татнефти и другие новости недели - SberCIB</x:v>
      </x:c>
      <x:c r="AI31" s="90" t="n">
        <x:v>46201.18618055555</x:v>
      </x:c>
      <x:c r="AJ31" s="90" t="n">
        <x:v>46201.65914351852</x:v>
      </x:c>
      <x:c r="AK31" s="90" t="str">
        <x:v>Screening record; verify against primary transaction documents.</x:v>
      </x:c>
    </x:row>
    <x:row r="32">
      <x:c r="A32" s="87" t="str">
        <x:v>DL-6bc0569f7ac374fe</x:v>
      </x:c>
      <x:c r="B32" s="88" t="n">
        <x:v>46139</x:v>
      </x:c>
      <x:c r="C32" s="87" t="str">
        <x:v>M&amp;A</x:v>
      </x:c>
      <x:c r="D32" s="87" t="str">
        <x:v>Reported</x:v>
      </x:c>
      <x:c r="E32" s="87" t="str">
        <x:v>rejected</x:v>
      </x:c>
      <x:c r="F32" s="89" t="n">
        <x:v>0</x:v>
      </x:c>
      <x:c r="G32" s="90" t="str">
        <x:v>non_transaction_or_technical_notice, unverified_source, missing_target</x:v>
      </x:c>
      <x:c r="H32" s="87" t="str">
        <x:v>Not disclosed</x:v>
      </x:c>
      <x:c r="I32" s="87" t="str">
        <x:v>Ozon</x:v>
      </x:c>
      <x:c r="J32" s="87" t="str">
        <x:v>Financials</x:v>
      </x:c>
      <x:c r="K32" s="87" t="str">
        <x:v>Not disclosed</x:v>
      </x:c>
      <x:c r="L32" s="91"/>
      <x:c r="M32" s="91"/>
      <x:c r="N32" s="87" t="str">
        <x:v>NOT DISCLOSED</x:v>
      </x:c>
      <x:c r="O32" s="92"/>
      <x:c r="P32" s="87" t="str">
        <x:v>Shares</x:v>
      </x:c>
      <x:c r="Q32" s="87" t="str">
        <x:v>Not disclosed</x:v>
      </x:c>
      <x:c r="R32" s="87"/>
      <x:c r="S32" s="87"/>
      <x:c r="T32" s="87" t="str">
        <x:v>Not disclosed</x:v>
      </x:c>
      <x:c r="U32" s="87" t="str">
        <x:v>Not disclosed</x:v>
      </x:c>
      <x:c r="V32" s="93"/>
      <x:c r="W32" s="93"/>
      <x:c r="X32" s="87" t="str">
        <x:v>Acquisition / disposal</x:v>
      </x:c>
      <x:c r="Y32" s="87" t="str">
        <x:v>Not disclosed</x:v>
      </x:c>
      <x:c r="Z32" s="89" t="n">
        <x:v>4</x:v>
      </x:c>
      <x:c r="AA32" s="87" t="str">
        <x:v>unverified</x:v>
      </x:c>
      <x:c r="AB32" s="87" t="str">
        <x:v>OZON</x:v>
      </x:c>
      <x:c r="AC32" s="87" t="n">
        <x:v>1</x:v>
      </x:c>
      <x:c r="AD32" s="87" t="str">
        <x:v>Ведомости</x:v>
      </x:c>
      <x:c r="AE32" s="94" t="str">
        <x:v>https://www.vedomosti.ru/finance/news/2026/04/27/1193355-putin-isklyuchil</x:v>
      </x:c>
      <x:c r="AF32" s="90" t="str">
        <x:v>Ведомости</x:v>
      </x:c>
      <x:c r="AG32" s="95" t="str">
        <x:v>https://www.vedomosti.ru/finance/news/2026/04/27/1193355-putin-isklyuchil</x:v>
      </x:c>
      <x:c r="AH32" s="90" t="str">
        <x:v>Путин исключил «Озон банк» из списка с запретом на сделки с акциями и долями - Ведомости</x:v>
      </x:c>
      <x:c r="AI32" s="90" t="n">
        <x:v>46201.18618055555</x:v>
      </x:c>
      <x:c r="AJ32" s="90" t="n">
        <x:v>46202.46146990741</x:v>
      </x:c>
      <x:c r="AK32" s="90" t="str">
        <x:v>Screening record; verify against primary transaction documents.</x:v>
      </x:c>
    </x:row>
    <x:row r="33">
      <x:c r="A33" s="87" t="str">
        <x:v>DL-cc671fa6b14f8f28</x:v>
      </x:c>
      <x:c r="B33" s="88" t="n">
        <x:v>46139</x:v>
      </x:c>
      <x:c r="C33" s="87" t="str">
        <x:v>M&amp;A</x:v>
      </x:c>
      <x:c r="D33" s="87" t="str">
        <x:v>Reported</x:v>
      </x:c>
      <x:c r="E33" s="87" t="str">
        <x:v>rejected</x:v>
      </x:c>
      <x:c r="F33" s="89" t="n">
        <x:v>0</x:v>
      </x:c>
      <x:c r="G33" s="90" t="str">
        <x:v>non_transaction_or_technical_notice, unverified_source, missing_target</x:v>
      </x:c>
      <x:c r="H33" s="87" t="str">
        <x:v>Not disclosed</x:v>
      </x:c>
      <x:c r="I33" s="87" t="str">
        <x:v>Ozon</x:v>
      </x:c>
      <x:c r="J33" s="87" t="str">
        <x:v>Financials</x:v>
      </x:c>
      <x:c r="K33" s="87" t="str">
        <x:v>Not disclosed</x:v>
      </x:c>
      <x:c r="L33" s="91"/>
      <x:c r="M33" s="91"/>
      <x:c r="N33" s="87" t="str">
        <x:v>NOT DISCLOSED</x:v>
      </x:c>
      <x:c r="O33" s="92"/>
      <x:c r="P33" s="87" t="str">
        <x:v>Shares</x:v>
      </x:c>
      <x:c r="Q33" s="87" t="str">
        <x:v>Not disclosed</x:v>
      </x:c>
      <x:c r="R33" s="87"/>
      <x:c r="S33" s="87"/>
      <x:c r="T33" s="87" t="str">
        <x:v>Not disclosed</x:v>
      </x:c>
      <x:c r="U33" s="87" t="str">
        <x:v>Not disclosed</x:v>
      </x:c>
      <x:c r="V33" s="93"/>
      <x:c r="W33" s="93"/>
      <x:c r="X33" s="87" t="str">
        <x:v>Acquisition / disposal</x:v>
      </x:c>
      <x:c r="Y33" s="87" t="str">
        <x:v>Not disclosed</x:v>
      </x:c>
      <x:c r="Z33" s="89" t="n">
        <x:v>4</x:v>
      </x:c>
      <x:c r="AA33" s="87" t="str">
        <x:v>unverified</x:v>
      </x:c>
      <x:c r="AB33" s="87" t="str">
        <x:v>OZON</x:v>
      </x:c>
      <x:c r="AC33" s="87" t="n">
        <x:v>1</x:v>
      </x:c>
      <x:c r="AD33" s="87" t="str">
        <x:v>БКС Экспресс</x:v>
      </x:c>
      <x:c r="AE33" s="94" t="str">
        <x:v>https://bcs-express.ru/novosti-i-analitika/ozon-bank-iskliuchen-iz-perechnia-bankov-s-aktsiiami-kotorykh-zapreshcheny-sdelki</x:v>
      </x:c>
      <x:c r="AF33" s="90" t="str">
        <x:v>БКС Экспресс</x:v>
      </x:c>
      <x:c r="AG33" s="95" t="str">
        <x:v>https://bcs-express.ru/novosti-i-analitika/ozon-bank-iskliuchen-iz-perechnia-bankov-s-aktsiiami-kotorykh-zapreshcheny-sdelki</x:v>
      </x:c>
      <x:c r="AH33" s="90" t="str">
        <x:v>Ozon Банк исключен из перечня банков, с акциями которых запрещены сделки - БКС Экспресс</x:v>
      </x:c>
      <x:c r="AI33" s="90" t="n">
        <x:v>46201.18618055555</x:v>
      </x:c>
      <x:c r="AJ33" s="90" t="n">
        <x:v>46202.46146990741</x:v>
      </x:c>
      <x:c r="AK33" s="90" t="str">
        <x:v>Screening record; verify against primary transaction documents.</x:v>
      </x:c>
    </x:row>
    <x:row r="34">
      <x:c r="A34" s="87" t="str">
        <x:v>DL-2d1ef3023240f32a</x:v>
      </x:c>
      <x:c r="B34" s="88" t="n">
        <x:v>46139</x:v>
      </x:c>
      <x:c r="C34" s="87" t="str">
        <x:v>M&amp;A</x:v>
      </x:c>
      <x:c r="D34" s="87" t="str">
        <x:v>Reported</x:v>
      </x:c>
      <x:c r="E34" s="87" t="str">
        <x:v>rejected</x:v>
      </x:c>
      <x:c r="F34" s="89" t="n">
        <x:v>0</x:v>
      </x:c>
      <x:c r="G34" s="90" t="str">
        <x:v>non_transaction_or_technical_notice, unverified_source, missing_target</x:v>
      </x:c>
      <x:c r="H34" s="87" t="str">
        <x:v>Not disclosed</x:v>
      </x:c>
      <x:c r="I34" s="87" t="str">
        <x:v>Ozon</x:v>
      </x:c>
      <x:c r="J34" s="87" t="str">
        <x:v>Financials</x:v>
      </x:c>
      <x:c r="K34" s="87" t="str">
        <x:v>Russia</x:v>
      </x:c>
      <x:c r="L34" s="91"/>
      <x:c r="M34" s="91"/>
      <x:c r="N34" s="87" t="str">
        <x:v>NOT DISCLOSED</x:v>
      </x:c>
      <x:c r="O34" s="92"/>
      <x:c r="P34" s="87" t="str">
        <x:v>Shares</x:v>
      </x:c>
      <x:c r="Q34" s="87" t="str">
        <x:v>Not disclosed</x:v>
      </x:c>
      <x:c r="R34" s="87"/>
      <x:c r="S34" s="87"/>
      <x:c r="T34" s="87" t="str">
        <x:v>Not disclosed</x:v>
      </x:c>
      <x:c r="U34" s="87" t="str">
        <x:v>Not disclosed</x:v>
      </x:c>
      <x:c r="V34" s="93"/>
      <x:c r="W34" s="93"/>
      <x:c r="X34" s="87" t="str">
        <x:v>Acquisition / disposal</x:v>
      </x:c>
      <x:c r="Y34" s="87" t="str">
        <x:v>Not disclosed</x:v>
      </x:c>
      <x:c r="Z34" s="89" t="n">
        <x:v>4</x:v>
      </x:c>
      <x:c r="AA34" s="87" t="str">
        <x:v>unverified</x:v>
      </x:c>
      <x:c r="AB34" s="87" t="str">
        <x:v>OZON</x:v>
      </x:c>
      <x:c r="AC34" s="87" t="n">
        <x:v>2</x:v>
      </x:c>
      <x:c r="AD34" s="87" t="str">
        <x:v>Главпортал</x:v>
      </x:c>
      <x:c r="AE34" s="94" t="str">
        <x:v>https://glavportal.com/news/putin-razreshil-sdelki-s-akciyami-ozon-banka</x:v>
      </x:c>
      <x:c r="AF34" s="90" t="str">
        <x:v>Главпортал | InvestFuture</x:v>
      </x:c>
      <x:c r="AG34" s="95" t="str">
        <x:v>https://glavportal.com/news/putin-razreshil-sdelki-s-akciyami-ozon-banka | https://investfuture.ru/articles/putin-snyal-zapret-na-sdelki-s-aktsiyami-ozon-banka-v-rossii-1178931397</x:v>
      </x:c>
      <x:c r="AH34" s="90" t="str">
        <x:v>Путин разрешил сделки с акциями «Озон банка» - Главпортал</x:v>
      </x:c>
      <x:c r="AI34" s="90" t="n">
        <x:v>46201.18618055555</x:v>
      </x:c>
      <x:c r="AJ34" s="90" t="n">
        <x:v>46202.46146990741</x:v>
      </x:c>
      <x:c r="AK34" s="90" t="str">
        <x:v>Screening record; verify against primary transaction documents.</x:v>
      </x:c>
    </x:row>
    <x:row r="35">
      <x:c r="A35" s="87" t="str">
        <x:v>DL-dd21f961f579e55a</x:v>
      </x:c>
      <x:c r="B35" s="88" t="n">
        <x:v>46139</x:v>
      </x:c>
      <x:c r="C35" s="87" t="str">
        <x:v>M&amp;A</x:v>
      </x:c>
      <x:c r="D35" s="87" t="str">
        <x:v>Reported</x:v>
      </x:c>
      <x:c r="E35" s="87" t="str">
        <x:v>rejected</x:v>
      </x:c>
      <x:c r="F35" s="89" t="n">
        <x:v>0</x:v>
      </x:c>
      <x:c r="G35" s="90" t="str">
        <x:v>non_transaction_or_technical_notice, unverified_source, missing_target</x:v>
      </x:c>
      <x:c r="H35" s="87" t="str">
        <x:v>Not disclosed</x:v>
      </x:c>
      <x:c r="I35" s="87" t="str">
        <x:v>Ozon</x:v>
      </x:c>
      <x:c r="J35" s="87" t="str">
        <x:v>Financials</x:v>
      </x:c>
      <x:c r="K35" s="87" t="str">
        <x:v>Not disclosed</x:v>
      </x:c>
      <x:c r="L35" s="91"/>
      <x:c r="M35" s="91"/>
      <x:c r="N35" s="87" t="str">
        <x:v>NOT DISCLOSED</x:v>
      </x:c>
      <x:c r="O35" s="92"/>
      <x:c r="P35" s="87" t="str">
        <x:v>Shares</x:v>
      </x:c>
      <x:c r="Q35" s="87" t="str">
        <x:v>Not disclosed</x:v>
      </x:c>
      <x:c r="R35" s="87"/>
      <x:c r="S35" s="87"/>
      <x:c r="T35" s="87" t="str">
        <x:v>Not disclosed</x:v>
      </x:c>
      <x:c r="U35" s="87" t="str">
        <x:v>Not disclosed</x:v>
      </x:c>
      <x:c r="V35" s="93"/>
      <x:c r="W35" s="93"/>
      <x:c r="X35" s="87" t="str">
        <x:v>Acquisition / disposal</x:v>
      </x:c>
      <x:c r="Y35" s="87" t="str">
        <x:v>Not disclosed</x:v>
      </x:c>
      <x:c r="Z35" s="89" t="n">
        <x:v>4</x:v>
      </x:c>
      <x:c r="AA35" s="87" t="str">
        <x:v>unverified</x:v>
      </x:c>
      <x:c r="AB35" s="87" t="str">
        <x:v>OZON</x:v>
      </x:c>
      <x:c r="AC35" s="87" t="n">
        <x:v>1</x:v>
      </x:c>
      <x:c r="AD35" s="87" t="str">
        <x:v>Реальное время</x:v>
      </x:c>
      <x:c r="AE35" s="94" t="str">
        <x:v>https://realnoevremya.ru/news/394463-s-ozon-banka-snyali-ogranicheniya-na-sdelki-s-akciyami-rasporyazhenie-putina</x:v>
      </x:c>
      <x:c r="AF35" s="90" t="str">
        <x:v>Реальное время</x:v>
      </x:c>
      <x:c r="AG35" s="95" t="str">
        <x:v>https://realnoevremya.ru/news/394463-s-ozon-banka-snyali-ogranicheniya-na-sdelki-s-akciyami-rasporyazhenie-putina</x:v>
      </x:c>
      <x:c r="AH35" s="90" t="str">
        <x:v>С «Озон банка» сняли ограничения на сделки с акциями — распоряжение Путина - Реальное время</x:v>
      </x:c>
      <x:c r="AI35" s="90" t="n">
        <x:v>46201.21320601852</x:v>
      </x:c>
      <x:c r="AJ35" s="90" t="n">
        <x:v>46202.46146990741</x:v>
      </x:c>
      <x:c r="AK35" s="90" t="str">
        <x:v>Screening record; verify against primary transaction documents.</x:v>
      </x:c>
    </x:row>
    <x:row r="36">
      <x:c r="A36" s="87" t="str">
        <x:v>DL-0bceebeca9933dc3</x:v>
      </x:c>
      <x:c r="B36" s="88" t="n">
        <x:v>46132</x:v>
      </x:c>
      <x:c r="C36" s="87" t="str">
        <x:v>DCM</x:v>
      </x:c>
      <x:c r="D36" s="87" t="str">
        <x:v>Reported</x:v>
      </x:c>
      <x:c r="E36" s="87" t="str">
        <x:v>rejected</x:v>
      </x:c>
      <x:c r="F36" s="89" t="n">
        <x:v>15</x:v>
      </x:c>
      <x:c r="G36" s="90" t="str">
        <x:v>non_transaction_or_technical_notice, unverified_source</x:v>
      </x:c>
      <x:c r="H36" s="87" t="str">
        <x:v>Ozon</x:v>
      </x:c>
      <x:c r="I36" s="87" t="str">
        <x:v>Not applicable</x:v>
      </x:c>
      <x:c r="J36" s="87" t="str">
        <x:v>Financials</x:v>
      </x:c>
      <x:c r="K36" s="87" t="str">
        <x:v>Not disclosed</x:v>
      </x:c>
      <x:c r="L36" s="91"/>
      <x:c r="M36" s="91"/>
      <x:c r="N36" s="87" t="str">
        <x:v>NOT DISCLOSED</x:v>
      </x:c>
      <x:c r="O36" s="92"/>
      <x:c r="P36" s="87" t="str">
        <x:v>Not applicable</x:v>
      </x:c>
      <x:c r="Q36" s="87" t="str">
        <x:v>Not disclosed</x:v>
      </x:c>
      <x:c r="R36" s="87"/>
      <x:c r="S36" s="87"/>
      <x:c r="T36" s="87" t="str">
        <x:v>Not disclosed</x:v>
      </x:c>
      <x:c r="U36" s="87" t="str">
        <x:v>Not disclosed</x:v>
      </x:c>
      <x:c r="V36" s="93"/>
      <x:c r="W36" s="93"/>
      <x:c r="X36" s="87" t="str">
        <x:v>Bonds</x:v>
      </x:c>
      <x:c r="Y36" s="87" t="str">
        <x:v>Not disclosed</x:v>
      </x:c>
      <x:c r="Z36" s="89" t="n">
        <x:v>4</x:v>
      </x:c>
      <x:c r="AA36" s="87" t="str">
        <x:v>unverified</x:v>
      </x:c>
      <x:c r="AB36" s="87" t="str">
        <x:v>OZON</x:v>
      </x:c>
      <x:c r="AC36" s="87" t="n">
        <x:v>1</x:v>
      </x:c>
      <x:c r="AD36" s="87" t="str">
        <x:v>Альфа-Банк</x:v>
      </x:c>
      <x:c r="AE36" s="94" t="str">
        <x:v>https://alfabank.ru/alfa-investor/t/obligatsii-ozona-zarabotay-na-marketpleyse/</x:v>
      </x:c>
      <x:c r="AF36" s="90" t="str">
        <x:v>Альфа-Банк</x:v>
      </x:c>
      <x:c r="AG36" s="95" t="str">
        <x:v>https://alfabank.ru/alfa-investor/t/obligatsii-ozona-zarabotay-na-marketpleyse/</x:v>
      </x:c>
      <x:c r="AH36" s="90" t="str">
        <x:v>Облигации Озона: заработай на маркетплейсе - Альфа-Банк</x:v>
      </x:c>
      <x:c r="AI36" s="90" t="n">
        <x:v>46201.18618055555</x:v>
      </x:c>
      <x:c r="AJ36" s="90" t="n">
        <x:v>46202.46146990741</x:v>
      </x:c>
      <x:c r="AK36" s="90" t="str">
        <x:v>Screening record; verify against primary transaction documents.</x:v>
      </x:c>
    </x:row>
    <x:row r="37">
      <x:c r="A37" s="87" t="str">
        <x:v>DL-c10daba8af8e67d8</x:v>
      </x:c>
      <x:c r="B37" s="88" t="n">
        <x:v>46128</x:v>
      </x:c>
      <x:c r="C37" s="87" t="str">
        <x:v>M&amp;A</x:v>
      </x:c>
      <x:c r="D37" s="87" t="str">
        <x:v>Reported</x:v>
      </x:c>
      <x:c r="E37" s="87" t="str">
        <x:v>review</x:v>
      </x:c>
      <x:c r="F37" s="89" t="n">
        <x:v>60</x:v>
      </x:c>
      <x:c r="G37" s="90" t="str">
        <x:v>unverified_source, missing_acquirer</x:v>
      </x:c>
      <x:c r="H37" s="87" t="str">
        <x:v>Точка Банка</x:v>
      </x:c>
      <x:c r="I37" s="87" t="str">
        <x:v>Not disclosed</x:v>
      </x:c>
      <x:c r="J37" s="87" t="str">
        <x:v>Financials</x:v>
      </x:c>
      <x:c r="K37" s="87" t="str">
        <x:v>Russia</x:v>
      </x:c>
      <x:c r="L37" s="91" t="n">
        <x:v>21200000000</x:v>
      </x:c>
      <x:c r="M37" s="91"/>
      <x:c r="N37" s="87" t="str">
        <x:v>RUB</x:v>
      </x:c>
      <x:c r="O37" s="92" t="n">
        <x:v>0.25</x:v>
      </x:c>
      <x:c r="P37" s="87" t="str">
        <x:v>Shares</x:v>
      </x:c>
      <x:c r="Q37" s="87" t="str">
        <x:v>Not disclosed</x:v>
      </x:c>
      <x:c r="R37" s="87"/>
      <x:c r="S37" s="87"/>
      <x:c r="T37" s="87" t="str">
        <x:v>Not disclosed</x:v>
      </x:c>
      <x:c r="U37" s="87" t="str">
        <x:v>Not disclosed</x:v>
      </x:c>
      <x:c r="V37" s="93"/>
      <x:c r="W37" s="93"/>
      <x:c r="X37" s="87" t="str">
        <x:v>Acquisition / disposal</x:v>
      </x:c>
      <x:c r="Y37" s="87" t="str">
        <x:v>предпринимателей</x:v>
      </x:c>
      <x:c r="Z37" s="89" t="n">
        <x:v>6</x:v>
      </x:c>
      <x:c r="AA37" s="87" t="str">
        <x:v>unverified</x:v>
      </x:c>
      <x:c r="AB37" s="87" t="str">
        <x:v>VKCO</x:v>
      </x:c>
      <x:c r="AC37" s="87" t="n">
        <x:v>3</x:v>
      </x:c>
      <x:c r="AD37" s="87" t="str">
        <x:v>RB.RU</x:v>
      </x:c>
      <x:c r="AE37" s="94" t="str">
        <x:v>https://rb.ru/news/vk-prodal-25-akcij-tochka-banka-sdelku-ocenili-v-212-mlrd-vdvoe-vyshe-iznachalnoj-stoimosti-bumag/</x:v>
      </x:c>
      <x:c r="AF37" s="90" t="str">
        <x:v>RB.RU | Ведомости | CNews.ru</x:v>
      </x:c>
      <x:c r="AG37" s="95" t="str">
        <x:v>https://rb.ru/news/vk-prodal-25-akcij-tochka-banka-sdelku-ocenili-v-212-mlrd-vdvoe-vyshe-iznachalnoj-stoimosti-bumag/ | https://www.vedomosti.ru/finance/news/2026/04/16/1190812-vk-prodala-dolyu | https://www.cnews.ru/news/top/2026-04-16_vk_prodal_svoyu_dolyu_v_virtualnom</x:v>
      </x:c>
      <x:c r="AH37" s="90" t="str">
        <x:v>VK продал 25% акций Точка Банка: сделку оценили в 21,2 млрд ₽ — вдвое выше изначальной стоимости бумаг - RB.RU</x:v>
      </x:c>
      <x:c r="AI37" s="90" t="n">
        <x:v>46201.18618055555</x:v>
      </x:c>
      <x:c r="AJ37" s="90" t="n">
        <x:v>46202.46146990741</x:v>
      </x:c>
      <x:c r="AK37" s="90" t="str">
        <x:v>Screening record; verify against primary transaction documents.</x:v>
      </x:c>
    </x:row>
    <x:row r="38">
      <x:c r="A38" s="87" t="str">
        <x:v>DL-4774de17c61c14e4</x:v>
      </x:c>
      <x:c r="B38" s="88" t="n">
        <x:v>46122</x:v>
      </x:c>
      <x:c r="C38" s="87" t="str">
        <x:v>DCM</x:v>
      </x:c>
      <x:c r="D38" s="87" t="str">
        <x:v>Reported</x:v>
      </x:c>
      <x:c r="E38" s="87" t="str">
        <x:v>review</x:v>
      </x:c>
      <x:c r="F38" s="89" t="n">
        <x:v>75</x:v>
      </x:c>
      <x:c r="G38" s="90" t="str">
        <x:v>unverified_source</x:v>
      </x:c>
      <x:c r="H38" s="87" t="str">
        <x:v>VK</x:v>
      </x:c>
      <x:c r="I38" s="87" t="str">
        <x:v>Not applicable</x:v>
      </x:c>
      <x:c r="J38" s="87" t="str">
        <x:v>Not classified</x:v>
      </x:c>
      <x:c r="K38" s="87" t="str">
        <x:v>Not disclosed</x:v>
      </x:c>
      <x:c r="L38" s="91"/>
      <x:c r="M38" s="91"/>
      <x:c r="N38" s="87" t="str">
        <x:v>NOT DISCLOSED</x:v>
      </x:c>
      <x:c r="O38" s="92"/>
      <x:c r="P38" s="87" t="str">
        <x:v>Not applicable</x:v>
      </x:c>
      <x:c r="Q38" s="87" t="str">
        <x:v>Not disclosed</x:v>
      </x:c>
      <x:c r="R38" s="87"/>
      <x:c r="S38" s="87"/>
      <x:c r="T38" s="87" t="str">
        <x:v>Not disclosed</x:v>
      </x:c>
      <x:c r="U38" s="87" t="str">
        <x:v>Not disclosed</x:v>
      </x:c>
      <x:c r="V38" s="93"/>
      <x:c r="W38" s="93"/>
      <x:c r="X38" s="87" t="str">
        <x:v>Bonds</x:v>
      </x:c>
      <x:c r="Y38" s="87" t="str">
        <x:v>Not disclosed</x:v>
      </x:c>
      <x:c r="Z38" s="89" t="n">
        <x:v>4</x:v>
      </x:c>
      <x:c r="AA38" s="87" t="str">
        <x:v>unverified</x:v>
      </x:c>
      <x:c r="AB38" s="87" t="str">
        <x:v>VKCO</x:v>
      </x:c>
      <x:c r="AC38" s="87" t="n">
        <x:v>1</x:v>
      </x:c>
      <x:c r="AD38" s="87" t="str">
        <x:v>Финам</x:v>
      </x:c>
      <x:c r="AE38" s="94" t="str">
        <x:v>https://www.finam.ru/publications/item/dvoynoe-razmeshchenie-obligatsiy-vk-chego-zhdat-chastnym-investoram-20260410-1829/</x:v>
      </x:c>
      <x:c r="AF38" s="90" t="str">
        <x:v>Финам</x:v>
      </x:c>
      <x:c r="AG38" s="95" t="str">
        <x:v>https://www.finam.ru/publications/item/dvoynoe-razmeshchenie-obligatsiy-vk-chego-zhdat-chastnym-investoram-20260410-1829/</x:v>
      </x:c>
      <x:c r="AH38" s="90" t="str">
        <x:v>Двойное размещение облигаций VK. Чего ждать частным инвесторам? 10.04.2026 - Финам</x:v>
      </x:c>
      <x:c r="AI38" s="90" t="n">
        <x:v>46201.21320601852</x:v>
      </x:c>
      <x:c r="AJ38" s="90" t="n">
        <x:v>46201.2140625</x:v>
      </x:c>
      <x:c r="AK38" s="90" t="str">
        <x:v>Screening record; verify against primary transaction documents.</x:v>
      </x:c>
    </x:row>
    <x:row r="39">
      <x:c r="A39" s="87" t="str">
        <x:v>DL-87f81143148d7276</x:v>
      </x:c>
      <x:c r="B39" s="88" t="n">
        <x:v>46122</x:v>
      </x:c>
      <x:c r="C39" s="87" t="str">
        <x:v>ECM</x:v>
      </x:c>
      <x:c r="D39" s="87" t="str">
        <x:v>Reported</x:v>
      </x:c>
      <x:c r="E39" s="87" t="str">
        <x:v>rejected</x:v>
      </x:c>
      <x:c r="F39" s="89" t="n">
        <x:v>15</x:v>
      </x:c>
      <x:c r="G39" s="90" t="str">
        <x:v>non_transaction_or_technical_notice, unverified_source</x:v>
      </x:c>
      <x:c r="H39" s="87" t="str">
        <x:v>Ozon</x:v>
      </x:c>
      <x:c r="I39" s="87" t="str">
        <x:v>Not applicable</x:v>
      </x:c>
      <x:c r="J39" s="87" t="str">
        <x:v>Financials</x:v>
      </x:c>
      <x:c r="K39" s="87" t="str">
        <x:v>Not disclosed</x:v>
      </x:c>
      <x:c r="L39" s="91"/>
      <x:c r="M39" s="91"/>
      <x:c r="N39" s="87" t="str">
        <x:v>NOT DISCLOSED</x:v>
      </x:c>
      <x:c r="O39" s="92"/>
      <x:c r="P39" s="87" t="str">
        <x:v>Not applicable</x:v>
      </x:c>
      <x:c r="Q39" s="87" t="str">
        <x:v>Not disclosed</x:v>
      </x:c>
      <x:c r="R39" s="87"/>
      <x:c r="S39" s="87"/>
      <x:c r="T39" s="87" t="str">
        <x:v>Not disclosed</x:v>
      </x:c>
      <x:c r="U39" s="87" t="str">
        <x:v>Not disclosed</x:v>
      </x:c>
      <x:c r="V39" s="93"/>
      <x:c r="W39" s="93"/>
      <x:c r="X39" s="87" t="str">
        <x:v>Equity issuance</x:v>
      </x:c>
      <x:c r="Y39" s="87" t="str">
        <x:v>Not disclosed</x:v>
      </x:c>
      <x:c r="Z39" s="89" t="n">
        <x:v>4</x:v>
      </x:c>
      <x:c r="AA39" s="87" t="str">
        <x:v>unverified</x:v>
      </x:c>
      <x:c r="AB39" s="87" t="str">
        <x:v>OZON</x:v>
      </x:c>
      <x:c r="AC39" s="87" t="n">
        <x:v>1</x:v>
      </x:c>
      <x:c r="AD39" s="87" t="str">
        <x:v>Альфа-Банк</x:v>
      </x:c>
      <x:c r="AE39" s="94" t="str">
        <x:v>https://alfabank.ru/alfa-investor/posts/t/1238104e-fa34-f111-91c8-0050569ebac3/</x:v>
      </x:c>
      <x:c r="AF39" s="90" t="str">
        <x:v>Альфа-Банк</x:v>
      </x:c>
      <x:c r="AG39" s="95" t="str">
        <x:v>https://alfabank.ru/alfa-investor/posts/t/1238104e-fa34-f111-91c8-0050569ebac3/</x:v>
      </x:c>
      <x:c r="AH39" s="90" t="str">
        <x:v>Мы держим Ozon в портфеле роста, но не в дивидендном Хотя - Альфа-Банк</x:v>
      </x:c>
      <x:c r="AI39" s="90" t="n">
        <x:v>46201.21320601852</x:v>
      </x:c>
      <x:c r="AJ39" s="90" t="n">
        <x:v>46202.46146990741</x:v>
      </x:c>
      <x:c r="AK39" s="90" t="str">
        <x:v>Screening record; verify against primary transaction documents.</x:v>
      </x:c>
    </x:row>
    <x:row r="40">
      <x:c r="A40" s="87" t="str">
        <x:v>DL-1363a495ec14164a</x:v>
      </x:c>
      <x:c r="B40" s="88" t="n">
        <x:v>46115</x:v>
      </x:c>
      <x:c r="C40" s="87" t="str">
        <x:v>DCM</x:v>
      </x:c>
      <x:c r="D40" s="87" t="str">
        <x:v>Announced</x:v>
      </x:c>
      <x:c r="E40" s="87" t="str">
        <x:v>review</x:v>
      </x:c>
      <x:c r="F40" s="89" t="n">
        <x:v>75</x:v>
      </x:c>
      <x:c r="G40" s="90" t="str">
        <x:v>unverified_source</x:v>
      </x:c>
      <x:c r="H40" s="87" t="str">
        <x:v>Ozon</x:v>
      </x:c>
      <x:c r="I40" s="87" t="str">
        <x:v>Not applicable</x:v>
      </x:c>
      <x:c r="J40" s="87" t="str">
        <x:v>Not classified</x:v>
      </x:c>
      <x:c r="K40" s="87" t="str">
        <x:v>Russia</x:v>
      </x:c>
      <x:c r="L40" s="91" t="n">
        <x:v>15000000000</x:v>
      </x:c>
      <x:c r="M40" s="91"/>
      <x:c r="N40" s="87" t="str">
        <x:v>RUB</x:v>
      </x:c>
      <x:c r="O40" s="92"/>
      <x:c r="P40" s="87" t="str">
        <x:v>Not applicable</x:v>
      </x:c>
      <x:c r="Q40" s="87" t="str">
        <x:v>Not disclosed</x:v>
      </x:c>
      <x:c r="R40" s="87"/>
      <x:c r="S40" s="87"/>
      <x:c r="T40" s="87" t="str">
        <x:v>Not disclosed</x:v>
      </x:c>
      <x:c r="U40" s="87" t="str">
        <x:v>Not disclosed</x:v>
      </x:c>
      <x:c r="V40" s="93"/>
      <x:c r="W40" s="93"/>
      <x:c r="X40" s="87" t="str">
        <x:v>Bonds</x:v>
      </x:c>
      <x:c r="Y40" s="87" t="str">
        <x:v>Not disclosed</x:v>
      </x:c>
      <x:c r="Z40" s="89" t="n">
        <x:v>4</x:v>
      </x:c>
      <x:c r="AA40" s="87" t="str">
        <x:v>unverified</x:v>
      </x:c>
      <x:c r="AB40" s="87" t="str">
        <x:v>OZON</x:v>
      </x:c>
      <x:c r="AC40" s="87" t="n">
        <x:v>1</x:v>
      </x:c>
      <x:c r="AD40" s="87" t="str">
        <x:v>https://expert.ru</x:v>
      </x:c>
      <x:c r="AE40" s="94" t="str">
        <x:v>https://expert.ru/news/ozon-anonsiroval-razmeshchenie-obligatsiy-na-15-mlrd-rubley</x:v>
      </x:c>
      <x:c r="AF40" s="90" t="str">
        <x:v>https://expert.ru</x:v>
      </x:c>
      <x:c r="AG40" s="95" t="str">
        <x:v>https://expert.ru/news/ozon-anonsiroval-razmeshchenie-obligatsiy-na-15-mlrd-rubley</x:v>
      </x:c>
      <x:c r="AH40" s="90" t="str">
        <x:v>Ozon анонсировал размещение облигаций на 15 млрд рублей - https://expert.ru</x:v>
      </x:c>
      <x:c r="AI40" s="90" t="n">
        <x:v>46201.18618055555</x:v>
      </x:c>
      <x:c r="AJ40" s="90" t="n">
        <x:v>46202.46146990741</x:v>
      </x:c>
      <x:c r="AK40" s="90" t="str">
        <x:v>Screening record; verify against primary transaction documents.</x:v>
      </x:c>
    </x:row>
    <x:row r="41">
      <x:c r="A41" s="87" t="str">
        <x:v>DL-12855c6275c496fe</x:v>
      </x:c>
      <x:c r="B41" s="88" t="n">
        <x:v>46115</x:v>
      </x:c>
      <x:c r="C41" s="87" t="str">
        <x:v>DCM</x:v>
      </x:c>
      <x:c r="D41" s="87" t="str">
        <x:v>Announced</x:v>
      </x:c>
      <x:c r="E41" s="87" t="str">
        <x:v>review</x:v>
      </x:c>
      <x:c r="F41" s="89" t="n">
        <x:v>75</x:v>
      </x:c>
      <x:c r="G41" s="90" t="str">
        <x:v>unverified_source</x:v>
      </x:c>
      <x:c r="H41" s="87" t="str">
        <x:v>Ozon</x:v>
      </x:c>
      <x:c r="I41" s="87" t="str">
        <x:v>Not applicable</x:v>
      </x:c>
      <x:c r="J41" s="87" t="str">
        <x:v>Not classified</x:v>
      </x:c>
      <x:c r="K41" s="87" t="str">
        <x:v>Not disclosed</x:v>
      </x:c>
      <x:c r="L41" s="91"/>
      <x:c r="M41" s="91"/>
      <x:c r="N41" s="87" t="str">
        <x:v>NOT DISCLOSED</x:v>
      </x:c>
      <x:c r="O41" s="92"/>
      <x:c r="P41" s="87" t="str">
        <x:v>Not applicable</x:v>
      </x:c>
      <x:c r="Q41" s="87" t="str">
        <x:v>Not disclosed</x:v>
      </x:c>
      <x:c r="R41" s="87"/>
      <x:c r="S41" s="87"/>
      <x:c r="T41" s="87" t="str">
        <x:v>Not disclosed</x:v>
      </x:c>
      <x:c r="U41" s="87" t="str">
        <x:v>Not disclosed</x:v>
      </x:c>
      <x:c r="V41" s="93"/>
      <x:c r="W41" s="93"/>
      <x:c r="X41" s="87" t="str">
        <x:v>Bonds</x:v>
      </x:c>
      <x:c r="Y41" s="87" t="str">
        <x:v>Not disclosed</x:v>
      </x:c>
      <x:c r="Z41" s="89" t="n">
        <x:v>4</x:v>
      </x:c>
      <x:c r="AA41" s="87" t="str">
        <x:v>unverified</x:v>
      </x:c>
      <x:c r="AB41" s="87" t="str">
        <x:v>OZON</x:v>
      </x:c>
      <x:c r="AC41" s="87" t="n">
        <x:v>1</x:v>
      </x:c>
      <x:c r="AD41" s="87" t="str">
        <x:v>БКС Экспресс</x:v>
      </x:c>
      <x:c r="AE41" s="94" t="str">
        <x:v>https://bcs-express.ru/novosti-i-analitika/ozon-planiruet-debiutnoe-razmeshchenie-birzhevykh-obligatsii</x:v>
      </x:c>
      <x:c r="AF41" s="90" t="str">
        <x:v>БКС Экспресс</x:v>
      </x:c>
      <x:c r="AG41" s="95" t="str">
        <x:v>https://bcs-express.ru/novosti-i-analitika/ozon-planiruet-debiutnoe-razmeshchenie-birzhevykh-obligatsii</x:v>
      </x:c>
      <x:c r="AH41" s="90" t="str">
        <x:v>Озон планирует дебютное размещение биржевых облигаций - БКС Экспресс</x:v>
      </x:c>
      <x:c r="AI41" s="90" t="n">
        <x:v>46201.18618055555</x:v>
      </x:c>
      <x:c r="AJ41" s="90" t="n">
        <x:v>46202.46146990741</x:v>
      </x:c>
      <x:c r="AK41" s="90" t="str">
        <x:v>Screening record; verify against primary transaction documents.</x:v>
      </x:c>
    </x:row>
    <x:row r="42">
      <x:c r="A42" s="87" t="str">
        <x:v>DL-d39c99c4c2dfa45c</x:v>
      </x:c>
      <x:c r="B42" s="88" t="n">
        <x:v>46111</x:v>
      </x:c>
      <x:c r="C42" s="87" t="str">
        <x:v>DCM</x:v>
      </x:c>
      <x:c r="D42" s="87" t="str">
        <x:v>Reported</x:v>
      </x:c>
      <x:c r="E42" s="87" t="str">
        <x:v>review</x:v>
      </x:c>
      <x:c r="F42" s="89" t="n">
        <x:v>75</x:v>
      </x:c>
      <x:c r="G42" s="90" t="str">
        <x:v>unverified_source</x:v>
      </x:c>
      <x:c r="H42" s="87" t="str">
        <x:v>VK</x:v>
      </x:c>
      <x:c r="I42" s="87" t="str">
        <x:v>Not applicable</x:v>
      </x:c>
      <x:c r="J42" s="87" t="str">
        <x:v>Not classified</x:v>
      </x:c>
      <x:c r="K42" s="87" t="str">
        <x:v>Russia</x:v>
      </x:c>
      <x:c r="L42" s="91" t="n">
        <x:v>10000000000</x:v>
      </x:c>
      <x:c r="M42" s="91"/>
      <x:c r="N42" s="87" t="str">
        <x:v>RUB</x:v>
      </x:c>
      <x:c r="O42" s="92"/>
      <x:c r="P42" s="87" t="str">
        <x:v>Not applicable</x:v>
      </x:c>
      <x:c r="Q42" s="87" t="str">
        <x:v>Not disclosed</x:v>
      </x:c>
      <x:c r="R42" s="87"/>
      <x:c r="S42" s="87"/>
      <x:c r="T42" s="87" t="str">
        <x:v>Not disclosed</x:v>
      </x:c>
      <x:c r="U42" s="87" t="str">
        <x:v>Not disclosed</x:v>
      </x:c>
      <x:c r="V42" s="93"/>
      <x:c r="W42" s="93"/>
      <x:c r="X42" s="87" t="str">
        <x:v>Bonds</x:v>
      </x:c>
      <x:c r="Y42" s="87" t="str">
        <x:v>Not disclosed</x:v>
      </x:c>
      <x:c r="Z42" s="89" t="n">
        <x:v>4</x:v>
      </x:c>
      <x:c r="AA42" s="87" t="str">
        <x:v>unverified</x:v>
      </x:c>
      <x:c r="AB42" s="87" t="str">
        <x:v>VKCO</x:v>
      </x:c>
      <x:c r="AC42" s="87" t="n">
        <x:v>1</x:v>
      </x:c>
      <x:c r="AD42" s="87" t="str">
        <x:v>vk.company</x:v>
      </x:c>
      <x:c r="AE42" s="94" t="str">
        <x:v>https://vk.company/investors/info/12271/</x:v>
      </x:c>
      <x:c r="AF42" s="90" t="str">
        <x:v>vk.company</x:v>
      </x:c>
      <x:c r="AG42" s="95" t="str">
        <x:v>https://vk.company/investors/info/12271/</x:v>
      </x:c>
      <x:c r="AH42" s="90" t="str">
        <x:v>VK объявляет о планах по размещению биржевых облигаций объемом 10 млрд рублей - vk.company</x:v>
      </x:c>
      <x:c r="AI42" s="90" t="n">
        <x:v>46201.18618055555</x:v>
      </x:c>
      <x:c r="AJ42" s="90" t="n">
        <x:v>46201.22010416666</x:v>
      </x:c>
      <x:c r="AK42" s="90" t="str">
        <x:v>Screening record; verify against primary transaction documents.</x:v>
      </x:c>
    </x:row>
    <x:row r="43">
      <x:c r="A43" s="87" t="str">
        <x:v>DL-b9babb23f2c4462c</x:v>
      </x:c>
      <x:c r="B43" s="88" t="n">
        <x:v>46111</x:v>
      </x:c>
      <x:c r="C43" s="87" t="str">
        <x:v>DCM</x:v>
      </x:c>
      <x:c r="D43" s="87" t="str">
        <x:v>Reported</x:v>
      </x:c>
      <x:c r="E43" s="87" t="str">
        <x:v>review</x:v>
      </x:c>
      <x:c r="F43" s="89" t="n">
        <x:v>75</x:v>
      </x:c>
      <x:c r="G43" s="90" t="str">
        <x:v>unverified_source</x:v>
      </x:c>
      <x:c r="H43" s="87" t="str">
        <x:v>VK</x:v>
      </x:c>
      <x:c r="I43" s="87" t="str">
        <x:v>Not applicable</x:v>
      </x:c>
      <x:c r="J43" s="87" t="str">
        <x:v>Not classified</x:v>
      </x:c>
      <x:c r="K43" s="87" t="str">
        <x:v>Not disclosed</x:v>
      </x:c>
      <x:c r="L43" s="91"/>
      <x:c r="M43" s="91"/>
      <x:c r="N43" s="87" t="str">
        <x:v>NOT DISCLOSED</x:v>
      </x:c>
      <x:c r="O43" s="92"/>
      <x:c r="P43" s="87" t="str">
        <x:v>Not applicable</x:v>
      </x:c>
      <x:c r="Q43" s="87" t="str">
        <x:v>Not disclosed</x:v>
      </x:c>
      <x:c r="R43" s="87"/>
      <x:c r="S43" s="87"/>
      <x:c r="T43" s="87" t="str">
        <x:v>Not disclosed</x:v>
      </x:c>
      <x:c r="U43" s="87" t="str">
        <x:v>Not disclosed</x:v>
      </x:c>
      <x:c r="V43" s="93"/>
      <x:c r="W43" s="93"/>
      <x:c r="X43" s="87" t="str">
        <x:v>Bonds</x:v>
      </x:c>
      <x:c r="Y43" s="87" t="str">
        <x:v>Not disclosed</x:v>
      </x:c>
      <x:c r="Z43" s="89" t="n">
        <x:v>4</x:v>
      </x:c>
      <x:c r="AA43" s="87" t="str">
        <x:v>unverified</x:v>
      </x:c>
      <x:c r="AB43" s="87" t="str">
        <x:v>VKCO</x:v>
      </x:c>
      <x:c r="AC43" s="87" t="n">
        <x:v>1</x:v>
      </x:c>
      <x:c r="AD43" s="87" t="str">
        <x:v>Финам</x:v>
      </x:c>
      <x:c r="AE43" s="94" t="str">
        <x:v>https://www.finam.ru/publications/item/vk-razmeshchaet-obligatsii-kak-eto-otrazitsya-na-investorakh-v-aktsii-20260330-1740/</x:v>
      </x:c>
      <x:c r="AF43" s="90" t="str">
        <x:v>Финам</x:v>
      </x:c>
      <x:c r="AG43" s="95" t="str">
        <x:v>https://www.finam.ru/publications/item/vk-razmeshchaet-obligatsii-kak-eto-otrazitsya-na-investorakh-v-aktsii-20260330-1740/</x:v>
      </x:c>
      <x:c r="AH43" s="90" t="str">
        <x:v>VK размещает облигации: как это отразится на инвесторах в акции 30.03.2026 - Финам</x:v>
      </x:c>
      <x:c r="AI43" s="90" t="n">
        <x:v>46201.18618055555</x:v>
      </x:c>
      <x:c r="AJ43" s="90" t="n">
        <x:v>46201.18618055555</x:v>
      </x:c>
      <x:c r="AK43" s="90" t="str">
        <x:v>Screening record; verify against primary transaction documents.</x:v>
      </x:c>
    </x:row>
    <x:row r="44">
      <x:c r="A44" s="87" t="str">
        <x:v>DL-238a83afad61e805</x:v>
      </x:c>
      <x:c r="B44" s="88" t="n">
        <x:v>46080</x:v>
      </x:c>
      <x:c r="C44" s="87" t="str">
        <x:v>DCM</x:v>
      </x:c>
      <x:c r="D44" s="87" t="str">
        <x:v>Issued</x:v>
      </x:c>
      <x:c r="E44" s="87" t="str">
        <x:v>approved</x:v>
      </x:c>
      <x:c r="F44" s="89" t="n">
        <x:v>100</x:v>
      </x:c>
      <x:c r="G44" s="90" t="str"/>
      <x:c r="H44" s="87" t="str">
        <x:v>SELECTEL</x:v>
      </x:c>
      <x:c r="I44" s="87" t="str">
        <x:v>Not applicable</x:v>
      </x:c>
      <x:c r="J44" s="87" t="str">
        <x:v>Not classified</x:v>
      </x:c>
      <x:c r="K44" s="87" t="str">
        <x:v>Russia</x:v>
      </x:c>
      <x:c r="L44" s="91" t="n">
        <x:v>7000000000</x:v>
      </x:c>
      <x:c r="M44" s="91"/>
      <x:c r="N44" s="87" t="str">
        <x:v>RUB</x:v>
      </x:c>
      <x:c r="O44" s="92" t="n">
        <x:v>0.15</x:v>
      </x:c>
      <x:c r="P44" s="87" t="str">
        <x:v>Not applicable</x:v>
      </x:c>
      <x:c r="Q44" s="87" t="str">
        <x:v>Not disclosed</x:v>
      </x:c>
      <x:c r="R44" s="87"/>
      <x:c r="S44" s="87"/>
      <x:c r="T44" s="87" t="str">
        <x:v>Not disclosed</x:v>
      </x:c>
      <x:c r="U44" s="87" t="str">
        <x:v>Not disclosed</x:v>
      </x:c>
      <x:c r="V44" s="93"/>
      <x:c r="W44" s="93"/>
      <x:c r="X44" s="87" t="str">
        <x:v>Bonds</x:v>
      </x:c>
      <x:c r="Y44" s="87" t="str">
        <x:v>Not disclosed</x:v>
      </x:c>
      <x:c r="Z44" s="89" t="n">
        <x:v>5</x:v>
      </x:c>
      <x:c r="AA44" s="87" t="str">
        <x:v>confirmed</x:v>
      </x:c>
      <x:c r="AB44" s="87" t="str"/>
      <x:c r="AC44" s="87" t="n">
        <x:v>1</x:v>
      </x:c>
      <x:c r="AD44" s="87" t="str">
        <x:v>Selectel Newsroom</x:v>
      </x:c>
      <x:c r="AE44" s="94" t="str">
        <x:v>https://selectel.ru/about/newsroom/news/selectel-razmestil-novyj-vypusk-obligaczij-i-privlek-7-milliardov-rublej-na-razvitie-biznesa/</x:v>
      </x:c>
      <x:c r="AF44" s="90" t="str">
        <x:v>Selectel Newsroom</x:v>
      </x:c>
      <x:c r="AG44" s="95" t="str">
        <x:v>https://selectel.ru/about/newsroom/news/selectel-razmestil-novyj-vypusk-obligaczij-i-privlek-7-milliardov-rublej-na-razvitie-biznesa/</x:v>
      </x:c>
      <x:c r="AH44" s="90" t="str">
        <x:v>Selectel разместил новый выпуск облигаций и привлек 7 миллиардов рублей на развитие бизнеса Selectel сообщил об успешном закрытии книги заявок в рамках размещения выпуска облигаций серии 001P-07R по ставке купона 15,00% годовых сроком на три года. В ходе формирования книги заявок общий спрос инвесторов превысил первоначальный ориентир по объему выпуска, что позволило увеличить объем выпуска с 5 до 7 млрд рублей и снизить итоговую ставку купона до 15,00% годовых.</x:v>
      </x:c>
      <x:c r="AI44" s="90" t="n">
        <x:v>46201.21556712963</x:v>
      </x:c>
      <x:c r="AJ44" s="90" t="n">
        <x:v>46202.46146990741</x:v>
      </x:c>
      <x:c r="AK44" s="90" t="str">
        <x:v>Screening record; verify against primary transaction documents.</x:v>
      </x:c>
    </x:row>
    <x:row r="45">
      <x:c r="A45" s="87" t="str">
        <x:v>DL-251bf0d0b7b600c1</x:v>
      </x:c>
      <x:c r="B45" s="88" t="n">
        <x:v>45642</x:v>
      </x:c>
      <x:c r="C45" s="87" t="str">
        <x:v>M&amp;A</x:v>
      </x:c>
      <x:c r="D45" s="87" t="str">
        <x:v>Confirmed</x:v>
      </x:c>
      <x:c r="E45" s="87" t="str">
        <x:v>approved</x:v>
      </x:c>
      <x:c r="F45" s="89" t="n">
        <x:v>85</x:v>
      </x:c>
      <x:c r="G45" s="90" t="str">
        <x:v>missing_target</x:v>
      </x:c>
      <x:c r="H45" s="87" t="str">
        <x:v>Not disclosed</x:v>
      </x:c>
      <x:c r="I45" s="87" t="str">
        <x:v>SELECTEL</x:v>
      </x:c>
      <x:c r="J45" s="87" t="str">
        <x:v>Technology</x:v>
      </x:c>
      <x:c r="K45" s="87" t="str">
        <x:v>Not disclosed</x:v>
      </x:c>
      <x:c r="L45" s="91"/>
      <x:c r="M45" s="91"/>
      <x:c r="N45" s="87" t="str">
        <x:v>NOT DISCLOSED</x:v>
      </x:c>
      <x:c r="O45" s="92" t="n">
        <x:v>1</x:v>
      </x:c>
      <x:c r="P45" s="87" t="str">
        <x:v>Not disclosed</x:v>
      </x:c>
      <x:c r="Q45" s="87" t="str">
        <x:v>Not disclosed</x:v>
      </x:c>
      <x:c r="R45" s="87"/>
      <x:c r="S45" s="87"/>
      <x:c r="T45" s="87" t="str">
        <x:v>Not disclosed</x:v>
      </x:c>
      <x:c r="U45" s="87" t="str">
        <x:v>Not disclosed</x:v>
      </x:c>
      <x:c r="V45" s="93"/>
      <x:c r="W45" s="93"/>
      <x:c r="X45" s="87" t="str">
        <x:v>Acquisition / disposal</x:v>
      </x:c>
      <x:c r="Y45" s="87" t="str">
        <x:v>Not disclosed</x:v>
      </x:c>
      <x:c r="Z45" s="89" t="n">
        <x:v>7</x:v>
      </x:c>
      <x:c r="AA45" s="87" t="str">
        <x:v>confirmed</x:v>
      </x:c>
      <x:c r="AB45" s="87" t="str"/>
      <x:c r="AC45" s="87" t="n">
        <x:v>1</x:v>
      </x:c>
      <x:c r="AD45" s="87" t="str">
        <x:v>Selectel Newsroom</x:v>
      </x:c>
      <x:c r="AE45" s="94" t="str">
        <x:v>https://selectel.ru/about/newsroom/news/selectel-soobshchaet-o-priobretenii-oblachnogo-provajdera-servers-ru/</x:v>
      </x:c>
      <x:c r="AF45" s="90" t="str">
        <x:v>Selectel Newsroom</x:v>
      </x:c>
      <x:c r="AG45" s="95" t="str">
        <x:v>https://selectel.ru/about/newsroom/news/selectel-soobshchaet-o-priobretenii-oblachnogo-provajdera-servers-ru/</x:v>
      </x:c>
      <x:c r="AH45" s="90" t="str">
        <x:v>Selectel сообщает о приобретении облачного провайдера Servers.ru Selectel сообщает о приобретении 100% компании ООО «Единая сеть», работающей под брендами Servers.ru, Exepto.ru и Fozzy.ru. Сделка позволит ускорить рост бизнеса и усилить лидерские позиции Selectel на рынке облачных инфраструктурных сервисов.</x:v>
      </x:c>
      <x:c r="AI45" s="90" t="n">
        <x:v>46201.21556712963</x:v>
      </x:c>
      <x:c r="AJ45" s="90" t="n">
        <x:v>46202.46146990741</x:v>
      </x:c>
      <x:c r="AK45" s="90" t="str">
        <x:v>Screening record; verify against primary transaction documents.</x:v>
      </x:c>
    </x:row>
    <x:row r="46">
      <x:c r="A46" s="87" t="str">
        <x:v>DL-aa5a93661389a659</x:v>
      </x:c>
      <x:c r="B46" s="88" t="n">
        <x:v>45611</x:v>
      </x:c>
      <x:c r="C46" s="87" t="str">
        <x:v>DCM</x:v>
      </x:c>
      <x:c r="D46" s="87" t="str">
        <x:v>Announced</x:v>
      </x:c>
      <x:c r="E46" s="87" t="str">
        <x:v>approved</x:v>
      </x:c>
      <x:c r="F46" s="89" t="n">
        <x:v>100</x:v>
      </x:c>
      <x:c r="G46" s="90" t="str"/>
      <x:c r="H46" s="87" t="str">
        <x:v>SELECTEL</x:v>
      </x:c>
      <x:c r="I46" s="87" t="str">
        <x:v>Not applicable</x:v>
      </x:c>
      <x:c r="J46" s="87" t="str">
        <x:v>Financials</x:v>
      </x:c>
      <x:c r="K46" s="87" t="str">
        <x:v>Russia</x:v>
      </x:c>
      <x:c r="L46" s="91" t="n">
        <x:v>3000000000</x:v>
      </x:c>
      <x:c r="M46" s="91"/>
      <x:c r="N46" s="87" t="str">
        <x:v>RUB</x:v>
      </x:c>
      <x:c r="O46" s="92"/>
      <x:c r="P46" s="87" t="str">
        <x:v>Not applicable</x:v>
      </x:c>
      <x:c r="Q46" s="87" t="str">
        <x:v>Not disclosed</x:v>
      </x:c>
      <x:c r="R46" s="87"/>
      <x:c r="S46" s="87"/>
      <x:c r="T46" s="87" t="str">
        <x:v>Not disclosed</x:v>
      </x:c>
      <x:c r="U46" s="87" t="str">
        <x:v>Not disclosed</x:v>
      </x:c>
      <x:c r="V46" s="93"/>
      <x:c r="W46" s="93"/>
      <x:c r="X46" s="87" t="str">
        <x:v>Bonds</x:v>
      </x:c>
      <x:c r="Y46" s="87" t="str">
        <x:v>целей финансирования инвестиционной программы</x:v>
      </x:c>
      <x:c r="Z46" s="89" t="n">
        <x:v>5</x:v>
      </x:c>
      <x:c r="AA46" s="87" t="str">
        <x:v>confirmed</x:v>
      </x:c>
      <x:c r="AB46" s="87" t="str"/>
      <x:c r="AC46" s="87" t="n">
        <x:v>1</x:v>
      </x:c>
      <x:c r="AD46" s="87" t="str">
        <x:v>Selectel Newsroom</x:v>
      </x:c>
      <x:c r="AE46" s="94" t="str">
        <x:v>https://selectel.ru/about/newsroom/news/selectel-planiruet-razmeshhenie-obligaczij-obemom-3-milliarda-rublej-2/</x:v>
      </x:c>
      <x:c r="AF46" s="90" t="str">
        <x:v>Selectel Newsroom</x:v>
      </x:c>
      <x:c r="AG46" s="95" t="str">
        <x:v>https://selectel.ru/about/newsroom/news/selectel-planiruet-razmeshhenie-obligaczij-obemom-3-milliarda-rublej-2/</x:v>
      </x:c>
      <x:c r="AH46" s="90" t="str">
        <x:v>Selectel планирует размещение облигаций объемом 3 миллиарда рублей Компания Selectel планирует разместить новый выпуск облигаций объемом 3 млрд рублей для целей финансирования инвестиционной программы. Тип купона — переменный и определяется исходя из ключевой ставки Банка России плюс премия не выше 400 базисных пунктов. Срок обращения — 2,5 года с ежемесячной выплатой купона. Сбор заявок планируется провести в конце ноября.</x:v>
      </x:c>
      <x:c r="AI46" s="90" t="n">
        <x:v>46201.21556712963</x:v>
      </x:c>
      <x:c r="AJ46" s="90" t="n">
        <x:v>46202.46146990741</x:v>
      </x:c>
      <x:c r="AK46" s="90" t="str">
        <x:v>Screening record; verify against primary transaction documents.</x:v>
      </x:c>
    </x:row>
    <x:row r="47">
      <x:c r="A47" s="87" t="str">
        <x:v>DL-c898acc93d60813b</x:v>
      </x:c>
      <x:c r="B47" s="88" t="n">
        <x:v>45391</x:v>
      </x:c>
      <x:c r="C47" s="87" t="str">
        <x:v>DCM</x:v>
      </x:c>
      <x:c r="D47" s="87" t="str">
        <x:v>Confirmed</x:v>
      </x:c>
      <x:c r="E47" s="87" t="str">
        <x:v>approved</x:v>
      </x:c>
      <x:c r="F47" s="89" t="n">
        <x:v>100</x:v>
      </x:c>
      <x:c r="G47" s="90" t="str"/>
      <x:c r="H47" s="87" t="str">
        <x:v>SELECTEL</x:v>
      </x:c>
      <x:c r="I47" s="87" t="str">
        <x:v>Not applicable</x:v>
      </x:c>
      <x:c r="J47" s="87" t="str">
        <x:v>Not classified</x:v>
      </x:c>
      <x:c r="K47" s="87" t="str">
        <x:v>Russia</x:v>
      </x:c>
      <x:c r="L47" s="91" t="n">
        <x:v>4000000000</x:v>
      </x:c>
      <x:c r="M47" s="91"/>
      <x:c r="N47" s="87" t="str">
        <x:v>RUB</x:v>
      </x:c>
      <x:c r="O47" s="92" t="n">
        <x:v>0.15</x:v>
      </x:c>
      <x:c r="P47" s="87" t="str">
        <x:v>Not applicable</x:v>
      </x:c>
      <x:c r="Q47" s="87" t="str">
        <x:v>Not disclosed</x:v>
      </x:c>
      <x:c r="R47" s="87"/>
      <x:c r="S47" s="87"/>
      <x:c r="T47" s="87" t="str">
        <x:v>Not disclosed</x:v>
      </x:c>
      <x:c r="U47" s="87" t="str">
        <x:v>Not disclosed</x:v>
      </x:c>
      <x:c r="V47" s="93"/>
      <x:c r="W47" s="93"/>
      <x:c r="X47" s="87" t="str">
        <x:v>Bonds</x:v>
      </x:c>
      <x:c r="Y47" s="87" t="str">
        <x:v>Not disclosed</x:v>
      </x:c>
      <x:c r="Z47" s="89" t="n">
        <x:v>5</x:v>
      </x:c>
      <x:c r="AA47" s="87" t="str">
        <x:v>confirmed</x:v>
      </x:c>
      <x:c r="AB47" s="87" t="str"/>
      <x:c r="AC47" s="87" t="n">
        <x:v>1</x:v>
      </x:c>
      <x:c r="AD47" s="87" t="str">
        <x:v>Selectel Newsroom</x:v>
      </x:c>
      <x:c r="AE47" s="94" t="str">
        <x:v>https://selectel.ru/about/newsroom/news/selectel-na-fone-povyshennogo-sprosa-na-obligaczii-chetvertogo-vypuska-uvelichil-obem-razmeshheniya-do-4-mlrd-rublej/</x:v>
      </x:c>
      <x:c r="AF47" s="90" t="str">
        <x:v>Selectel Newsroom</x:v>
      </x:c>
      <x:c r="AG47" s="95" t="str">
        <x:v>https://selectel.ru/about/newsroom/news/selectel-na-fone-povyshennogo-sprosa-na-obligaczii-chetvertogo-vypuska-uvelichil-obem-razmeshheniya-do-4-mlrd-rublej/</x:v>
      </x:c>
      <x:c r="AH47" s="90" t="str">
        <x:v>Selectel на фоне повышенного спроса на облигации четвертого выпуска увеличил объем размещения до 4 млрд рублей Компания Selectel сообщила об успешном закрытии книги заявок в рамках размещения четвертого выпуска облигаций. Объем выпуска составил 4 млрд рублей, ставка купона установлена на уровне 15% годовых с ежемесячной выплатой, срок обращения 2 года.</x:v>
      </x:c>
      <x:c r="AI47" s="90" t="n">
        <x:v>46201.21556712963</x:v>
      </x:c>
      <x:c r="AJ47" s="90" t="n">
        <x:v>46202.46146990741</x:v>
      </x:c>
      <x:c r="AK47" s="90" t="str">
        <x:v>Screening record; verify against primary transaction documents.</x:v>
      </x:c>
    </x:row>
    <x:row r="48">
      <x:c r="A48" s="87" t="str">
        <x:v>DL-3b4a4419ab6b81bf</x:v>
      </x:c>
      <x:c r="B48" s="88" t="n">
        <x:v>45357</x:v>
      </x:c>
      <x:c r="C48" s="87" t="str">
        <x:v>DCM</x:v>
      </x:c>
      <x:c r="D48" s="87" t="str">
        <x:v>Announced</x:v>
      </x:c>
      <x:c r="E48" s="87" t="str">
        <x:v>approved</x:v>
      </x:c>
      <x:c r="F48" s="89" t="n">
        <x:v>100</x:v>
      </x:c>
      <x:c r="G48" s="90" t="str"/>
      <x:c r="H48" s="87" t="str">
        <x:v>SELECTEL</x:v>
      </x:c>
      <x:c r="I48" s="87" t="str">
        <x:v>Not applicable</x:v>
      </x:c>
      <x:c r="J48" s="87" t="str">
        <x:v>Not classified</x:v>
      </x:c>
      <x:c r="K48" s="87" t="str">
        <x:v>Russia</x:v>
      </x:c>
      <x:c r="L48" s="91" t="n">
        <x:v>3000000000</x:v>
      </x:c>
      <x:c r="M48" s="91"/>
      <x:c r="N48" s="87" t="str">
        <x:v>RUB</x:v>
      </x:c>
      <x:c r="O48" s="92"/>
      <x:c r="P48" s="87" t="str">
        <x:v>Not applicable</x:v>
      </x:c>
      <x:c r="Q48" s="87" t="str">
        <x:v>Not disclosed</x:v>
      </x:c>
      <x:c r="R48" s="87"/>
      <x:c r="S48" s="87"/>
      <x:c r="T48" s="87" t="str">
        <x:v>Not disclosed</x:v>
      </x:c>
      <x:c r="U48" s="87" t="str">
        <x:v>Not disclosed</x:v>
      </x:c>
      <x:c r="V48" s="93"/>
      <x:c r="W48" s="93"/>
      <x:c r="X48" s="87" t="str">
        <x:v>Bonds</x:v>
      </x:c>
      <x:c r="Y48" s="87" t="str">
        <x:v>Not disclosed</x:v>
      </x:c>
      <x:c r="Z48" s="89" t="n">
        <x:v>5</x:v>
      </x:c>
      <x:c r="AA48" s="87" t="str">
        <x:v>confirmed</x:v>
      </x:c>
      <x:c r="AB48" s="87" t="str"/>
      <x:c r="AC48" s="87" t="n">
        <x:v>1</x:v>
      </x:c>
      <x:c r="AD48" s="87" t="str">
        <x:v>Selectel Newsroom</x:v>
      </x:c>
      <x:c r="AE48" s="94" t="str">
        <x:v>https://selectel.ru/about/newsroom/news/selectel-planiruet-razmeshhenie-obligaczij-obemom-3-milliarda-rublej/</x:v>
      </x:c>
      <x:c r="AF48" s="90" t="str">
        <x:v>Selectel Newsroom</x:v>
      </x:c>
      <x:c r="AG48" s="95" t="str">
        <x:v>https://selectel.ru/about/newsroom/news/selectel-planiruet-razmeshhenie-obligaczij-obemom-3-milliarda-rublej/</x:v>
      </x:c>
      <x:c r="AH48" s="90" t="str">
        <x:v>Selectel планирует размещение облигаций объемом 3 миллиарда рублей Selectel планирует разместить выпуск облигаций объемом 3 млрд рублей с фиксированной ставкой купона и сроком обращения 2 года. Ориентир доходности — премия не выше 275 базисных пунктов к значению кривой бескупонной доходности (КБД) Московской биржи на сроке 2 года. Купонные выплаты будут осуществляться ежемесячно. Сбор заявок планируется провести в первой декаде апреля.</x:v>
      </x:c>
      <x:c r="AI48" s="90" t="n">
        <x:v>46201.21556712963</x:v>
      </x:c>
      <x:c r="AJ48" s="90" t="n">
        <x:v>46202.46146990741</x:v>
      </x:c>
      <x:c r="AK48" s="90" t="str">
        <x:v>Screening record; verify against primary transaction documents.</x:v>
      </x:c>
    </x:row>
    <x:row r="49">
      <x:c r="A49" s="96" t="str">
        <x:v>DL-0242cf80b3f97c9c</x:v>
      </x:c>
      <x:c r="B49" s="97" t="n">
        <x:v>45288</x:v>
      </x:c>
      <x:c r="C49" s="96" t="str">
        <x:v>M&amp;A</x:v>
      </x:c>
      <x:c r="D49" s="96" t="str">
        <x:v>Confirmed</x:v>
      </x:c>
      <x:c r="E49" s="96" t="str">
        <x:v>review</x:v>
      </x:c>
      <x:c r="F49" s="98" t="n">
        <x:v>40</x:v>
      </x:c>
      <x:c r="G49" s="99" t="str">
        <x:v>non_transaction_or_technical_notice</x:v>
      </x:c>
      <x:c r="H49" s="96" t="str">
        <x:v>25% провайдера IT-инфраструктуры Selectel Инвестиционный фонд Tier 5, основанный Геворком Вермишяном</x:v>
      </x:c>
      <x:c r="I49" s="96" t="str">
        <x:v>Инвестиционный фонд Tier 5</x:v>
      </x:c>
      <x:c r="J49" s="96" t="str">
        <x:v>Not classified</x:v>
      </x:c>
      <x:c r="K49" s="96" t="str">
        <x:v>Russia</x:v>
      </x:c>
      <x:c r="L49" s="100"/>
      <x:c r="M49" s="100"/>
      <x:c r="N49" s="96" t="str">
        <x:v>NOT DISCLOSED</x:v>
      </x:c>
      <x:c r="O49" s="101" t="n">
        <x:v>0.25</x:v>
      </x:c>
      <x:c r="P49" s="96" t="str">
        <x:v>Not disclosed</x:v>
      </x:c>
      <x:c r="Q49" s="96" t="str">
        <x:v>Not disclosed</x:v>
      </x:c>
      <x:c r="R49" s="96"/>
      <x:c r="S49" s="96"/>
      <x:c r="T49" s="96" t="str">
        <x:v>Not disclosed</x:v>
      </x:c>
      <x:c r="U49" s="96" t="str">
        <x:v>Not disclosed</x:v>
      </x:c>
      <x:c r="V49" s="102"/>
      <x:c r="W49" s="102"/>
      <x:c r="X49" s="96" t="str">
        <x:v>Acquisition / disposal</x:v>
      </x:c>
      <x:c r="Y49" s="96" t="str">
        <x:v>Not disclosed</x:v>
      </x:c>
      <x:c r="Z49" s="98" t="n">
        <x:v>5</x:v>
      </x:c>
      <x:c r="AA49" s="96" t="str">
        <x:v>confirmed</x:v>
      </x:c>
      <x:c r="AB49" s="96" t="str"/>
      <x:c r="AC49" s="96" t="n">
        <x:v>1</x:v>
      </x:c>
      <x:c r="AD49" s="96" t="str">
        <x:v>Selectel Newsroom</x:v>
      </x:c>
      <x:c r="AE49" s="103" t="str">
        <x:v>https://selectel.ru/about/newsroom/news/investicionnyj-fond-tier-5-priobrel-25-provajdera-it-infrastruktury-selectel/</x:v>
      </x:c>
      <x:c r="AF49" s="99" t="str">
        <x:v>Selectel Newsroom</x:v>
      </x:c>
      <x:c r="AG49" s="104" t="str">
        <x:v>https://selectel.ru/about/newsroom/news/investicionnyj-fond-tier-5-priobrel-25-provajdera-it-infrastruktury-selectel/</x:v>
      </x:c>
      <x:c r="AH49" s="99" t="str">
        <x:v>Инвестиционный фонд Tier 5 приобрел 25% провайдера IT-инфраструктуры Selectel Инвестиционный фонд Tier 5, основанный Геворком Вермишяном, ранее возглавлявшим «МегаФон», приобрел 25% провайдера IT-инфраструктуры Selectel, который входит в топ-3 российских IaaS-компаний по выручке. Детали сделки стороны не раскрывают.</x:v>
      </x:c>
      <x:c r="AI49" s="99" t="n">
        <x:v>46201.21556712963</x:v>
      </x:c>
      <x:c r="AJ49" s="99" t="n">
        <x:v>46202.46146990741</x:v>
      </x:c>
      <x:c r="AK49" s="99" t="str">
        <x:v>Screening record; verify against primary transaction documents.</x:v>
      </x:c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  <x:c r="N50"/>
      <x:c r="O50"/>
      <x:c r="P50"/>
      <x:c r="Q50"/>
      <x:c r="R50"/>
      <x:c r="S50"/>
      <x:c r="T50"/>
      <x:c r="U50"/>
      <x:c r="V50"/>
      <x:c r="W50"/>
      <x:c r="X50"/>
      <x:c r="Y50"/>
      <x:c r="Z50"/>
      <x:c r="AA50"/>
      <x:c r="AB50"/>
      <x:c r="AC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  <x:c r="O51"/>
      <x:c r="P51"/>
      <x:c r="Q51"/>
      <x:c r="R51"/>
      <x:c r="S51"/>
      <x:c r="T51"/>
      <x:c r="U51"/>
      <x:c r="V51"/>
      <x:c r="W51"/>
      <x:c r="X51"/>
      <x:c r="Y51"/>
      <x:c r="Z51"/>
      <x:c r="AA51"/>
      <x:c r="AB51"/>
      <x:c r="AC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  <x:c r="N52"/>
      <x:c r="O52"/>
      <x:c r="P52"/>
      <x:c r="Q52"/>
      <x:c r="R52"/>
      <x:c r="S52"/>
      <x:c r="T52"/>
      <x:c r="U52"/>
      <x:c r="V52"/>
      <x:c r="W52"/>
      <x:c r="X52"/>
      <x:c r="Y52"/>
      <x:c r="Z52"/>
      <x:c r="AA52"/>
      <x:c r="AB52"/>
      <x:c r="AC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  <x:c r="N53"/>
      <x:c r="O53"/>
      <x:c r="P53"/>
      <x:c r="Q53"/>
      <x:c r="R53"/>
      <x:c r="S53"/>
      <x:c r="T53"/>
      <x:c r="U53"/>
      <x:c r="V53"/>
      <x:c r="W53"/>
      <x:c r="X53"/>
      <x:c r="Y53"/>
      <x:c r="Z53"/>
      <x:c r="AA53"/>
      <x:c r="AB53"/>
      <x:c r="AC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  <x:c r="N54"/>
      <x:c r="O54"/>
      <x:c r="P54"/>
      <x:c r="Q54"/>
      <x:c r="R54"/>
      <x:c r="S54"/>
      <x:c r="T54"/>
      <x:c r="U54"/>
      <x:c r="V54"/>
      <x:c r="W54"/>
      <x:c r="X54"/>
      <x:c r="Y54"/>
      <x:c r="Z54"/>
      <x:c r="AA54"/>
      <x:c r="AB54"/>
      <x:c r="AC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  <x:c r="N55"/>
      <x:c r="O55"/>
      <x:c r="P55"/>
      <x:c r="Q55"/>
      <x:c r="R55"/>
      <x:c r="S55"/>
      <x:c r="T55"/>
      <x:c r="U55"/>
      <x:c r="V55"/>
      <x:c r="W55"/>
      <x:c r="X55"/>
      <x:c r="Y55"/>
      <x:c r="Z55"/>
      <x:c r="AA55"/>
      <x:c r="AB55"/>
      <x:c r="AC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  <x:c r="N56"/>
      <x:c r="O56"/>
      <x:c r="P56"/>
      <x:c r="Q56"/>
      <x:c r="R56"/>
      <x:c r="S56"/>
      <x:c r="T56"/>
      <x:c r="U56"/>
      <x:c r="V56"/>
      <x:c r="W56"/>
      <x:c r="X56"/>
      <x:c r="Y56"/>
      <x:c r="Z56"/>
      <x:c r="AA56"/>
      <x:c r="AB56"/>
      <x:c r="AC56"/>
    </x:row>
  </x:sheetData>
  <x:mergeCells>
    <x:mergeCell ref="A1:AK1"/>
    <x:mergeCell ref="A2:AK2"/>
    <x:mergeCell ref="A4:AK4"/>
  </x:mergeCells>
  <x:conditionalFormatting sqref="W7:W56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E7:E48">
    <x:cfRule type="containsText" dxfId="2" priority="2" operator="containsText" text="approved"/>
    <x:cfRule type="containsText" dxfId="3" priority="3" operator="containsText" text="review"/>
    <x:cfRule type="containsText" dxfId="4" priority="4" operator="containsText" text="rejected"/>
  </x:conditionalFormatting>
  <x:conditionalFormatting sqref="F7:F48">
    <x:cfRule type="colorScale" priority="5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E7:E49">
    <x:cfRule type="containsText" dxfId="18" priority="6" operator="containsText" text="approved"/>
    <x:cfRule type="containsText" dxfId="19" priority="7" operator="containsText" text="review"/>
    <x:cfRule type="containsText" dxfId="20" priority="8" operator="containsText" text="rejected"/>
  </x:conditionalFormatting>
  <x:conditionalFormatting sqref="F7:F49">
    <x:cfRule type="colorScale" priority="9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124a220860042a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86" hidden="0" customWidth="1"/>
  </x:cols>
  <x:sheetData>
    <x:row r="1" ht="28" customHeight="1">
      <x:c r="A1" s="164" t="str">
        <x:v>DEAL CARD</x:v>
      </x:c>
      <x:c r="B1" s="164"/>
      <x:c r="C1"/>
      <x:c r="D1"/>
      <x:c r="E1"/>
      <x:c r="F1"/>
      <x:c r="G1"/>
      <x:c r="H1"/>
    </x:row>
    <x:row r="2" ht="25" customHeight="1">
      <x:c r="A2" s="166" t="str">
        <x:v>Latest quality-gated transaction; source links and review flags are shown explicitly</x:v>
      </x:c>
      <x:c r="B2" s="166"/>
      <x:c r="C2"/>
      <x:c r="D2"/>
      <x:c r="E2"/>
      <x:c r="F2"/>
      <x:c r="G2"/>
      <x:c r="H2"/>
    </x:row>
    <x:row r="4" ht="22" customHeight="1">
      <x:c r="A4" s="176" t="str">
        <x:v>DCM | Confirmed | APPROVED 100/100</x:v>
      </x:c>
      <x:c r="B4" s="176"/>
      <x:c r="C4"/>
      <x:c r="D4"/>
      <x:c r="E4"/>
      <x:c r="F4"/>
      <x:c r="G4"/>
      <x:c r="H4"/>
    </x:row>
    <x:row r="6">
      <x:c r="A6" s="186" t="str">
        <x:v>Headline</x:v>
      </x:c>
      <x:c r="B6" s="137" t="str">
        <x:v>Итоги выпуска биржевых облигаций</x:v>
      </x:c>
    </x:row>
    <x:row r="7">
      <x:c r="A7" s="186" t="str">
        <x:v>Announced date</x:v>
      </x:c>
      <x:c r="B7" s="139" t="n">
        <x:v>46202</x:v>
      </x:c>
    </x:row>
    <x:row r="8">
      <x:c r="A8" s="186" t="str">
        <x:v>Target / Issuer</x:v>
      </x:c>
      <x:c r="B8" s="137" t="str">
        <x:v>Итоги выпуска биржевых облигаций</x:v>
      </x:c>
    </x:row>
    <x:row r="9">
      <x:c r="A9" s="186" t="str">
        <x:v>Acquirer / Investor</x:v>
      </x:c>
      <x:c r="B9" s="137" t="str">
        <x:v>Not applicable</x:v>
      </x:c>
    </x:row>
    <x:row r="10">
      <x:c r="A10" s="186" t="str">
        <x:v>Transaction value</x:v>
      </x:c>
      <x:c r="B10" s="140"/>
    </x:row>
    <x:row r="11">
      <x:c r="A11" s="186" t="str">
        <x:v>Enterprise value</x:v>
      </x:c>
      <x:c r="B11" s="140"/>
    </x:row>
    <x:row r="12">
      <x:c r="A12" s="186" t="str">
        <x:v>Currency</x:v>
      </x:c>
      <x:c r="B12" s="137" t="str">
        <x:v>NOT DISCLOSED</x:v>
      </x:c>
    </x:row>
    <x:row r="13">
      <x:c r="A13" s="186" t="str">
        <x:v>Stake</x:v>
      </x:c>
      <x:c r="B13" s="141" t="n">
        <x:v>0.7859999999999999</x:v>
      </x:c>
    </x:row>
    <x:row r="14">
      <x:c r="A14" s="186" t="str">
        <x:v>Payment form</x:v>
      </x:c>
      <x:c r="B14" s="137" t="str">
        <x:v>Not applicable</x:v>
      </x:c>
    </x:row>
    <x:row r="15">
      <x:c r="A15" s="186" t="str">
        <x:v>Advisors</x:v>
      </x:c>
      <x:c r="B15" s="137" t="str">
        <x:v>Not disclosed</x:v>
      </x:c>
    </x:row>
    <x:row r="16">
      <x:c r="A16" s="186" t="str">
        <x:v>Revenue LTM</x:v>
      </x:c>
      <x:c r="B16" s="137"/>
    </x:row>
    <x:row r="17">
      <x:c r="A17" s="186" t="str">
        <x:v>EBITDA LTM</x:v>
      </x:c>
      <x:c r="B17" s="137"/>
    </x:row>
    <x:row r="18">
      <x:c r="A18" s="186" t="str">
        <x:v>EV / Revenue</x:v>
      </x:c>
      <x:c r="B18" s="142" t="str">
        <x:v>N/M</x:v>
      </x:c>
    </x:row>
    <x:row r="19">
      <x:c r="A19" s="186" t="str">
        <x:v>EV / EBITDA</x:v>
      </x:c>
      <x:c r="B19" s="142" t="str">
        <x:v>N/M</x:v>
      </x:c>
    </x:row>
    <x:row r="20">
      <x:c r="A20" s="186" t="str">
        <x:v>Instrument</x:v>
      </x:c>
      <x:c r="B20" s="137" t="str">
        <x:v>Bonds</x:v>
      </x:c>
    </x:row>
    <x:row r="21">
      <x:c r="A21" s="186" t="str">
        <x:v>Rationale</x:v>
      </x:c>
      <x:c r="B21" s="137" t="str">
        <x:v>Not disclosed</x:v>
      </x:c>
    </x:row>
    <x:row r="22">
      <x:c r="A22" s="186" t="str">
        <x:v>Deal status</x:v>
      </x:c>
      <x:c r="B22" s="137" t="str">
        <x:v>Confirmed</x:v>
      </x:c>
    </x:row>
    <x:row r="23">
      <x:c r="A23" s="186" t="str">
        <x:v>Quality status</x:v>
      </x:c>
      <x:c r="B23" s="137" t="str">
        <x:v>approved</x:v>
      </x:c>
    </x:row>
    <x:row r="24">
      <x:c r="A24" s="186" t="str">
        <x:v>Quality score</x:v>
      </x:c>
      <x:c r="B24" s="137" t="n">
        <x:v>100</x:v>
      </x:c>
    </x:row>
    <x:row r="25">
      <x:c r="A25" s="186" t="str">
        <x:v>Review flags</x:v>
      </x:c>
      <x:c r="B25" s="137" t="str">
        <x:v>None</x:v>
      </x:c>
    </x:row>
    <x:row r="26">
      <x:c r="A26" s="186" t="str">
        <x:v>Evidence / signal score</x:v>
      </x:c>
      <x:c r="B26" s="137" t="str">
        <x:v>confirmed / 7 out of 10</x:v>
      </x:c>
    </x:row>
    <x:row r="27">
      <x:c r="A27" s="186" t="str">
        <x:v>Source count</x:v>
      </x:c>
      <x:c r="B27" s="137" t="n">
        <x:v>1</x:v>
      </x:c>
    </x:row>
    <x:row r="28">
      <x:c r="A28" s="186" t="str">
        <x:v>Source names</x:v>
      </x:c>
      <x:c r="B28" s="137" t="str">
        <x:v>MOEX disclosure</x:v>
      </x:c>
    </x:row>
    <x:row r="29">
      <x:c r="A29" s="187" t="str">
        <x:v>Source URLs</x:v>
      </x:c>
      <x:c r="B29" s="143" t="str">
        <x:v>https://www.moex.com/n101536</x:v>
      </x:c>
    </x:row>
  </x:sheetData>
  <x:mergeCells>
    <x:mergeCell ref="A1:B1"/>
    <x:mergeCell ref="A2:B2"/>
    <x:mergeCell ref="A4:B4"/>
  </x:mergeCells>
  <x:conditionalFormatting sqref="B23:B23">
    <x:cfRule type="containsText" dxfId="9" priority="1" operator="containsText" text="approved"/>
    <x:cfRule type="containsText" dxfId="10" priority="2" operator="containsText" text="review"/>
    <x:cfRule type="containsText" dxfId="25" priority="3" operator="containsText" text="approved"/>
    <x:cfRule type="containsText" dxfId="26" priority="4" operator="containsText" text="review"/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24" hidden="0" customWidth="1"/>
    <x:col min="4" max="4" width="46" hidden="0" customWidth="1"/>
    <x:col min="5" max="5" width="12" hidden="0" customWidth="1"/>
    <x:col min="6" max="6" width="16" hidden="0" customWidth="1"/>
    <x:col min="7" max="7" width="16" hidden="0" customWidth="1"/>
    <x:col min="8" max="8" width="15" hidden="0" customWidth="1"/>
    <x:col min="9" max="9" width="12" hidden="0" customWidth="1"/>
    <x:col min="10" max="10" width="54" hidden="0" customWidth="1"/>
  </x:cols>
  <x:sheetData>
    <x:row r="1" ht="28" customHeight="1">
      <x:c r="A1" s="164" t="str">
        <x:v>SOURCES &amp; QUALITY ASSURANCE</x:v>
      </x:c>
      <x:c r="B1" s="164"/>
      <x:c r="C1" s="164"/>
      <x:c r="D1" s="164"/>
      <x:c r="E1" s="164"/>
      <x:c r="F1" s="164"/>
      <x:c r="G1" s="164"/>
      <x:c r="H1" s="164"/>
      <x:c r="I1" s="164"/>
      <x:c r="J1" s="164"/>
    </x:row>
    <x:row r="2" ht="25" customHeight="1">
      <x:c r="A2" s="166" t="str">
        <x:v>One row per source; quality checks confirm rejected records are quarantined from analyst-facing outputs</x:v>
      </x:c>
      <x:c r="B2" s="166"/>
      <x:c r="C2" s="166"/>
      <x:c r="D2" s="166"/>
      <x:c r="E2" s="166"/>
      <x:c r="F2" s="166"/>
      <x:c r="G2" s="166"/>
      <x:c r="H2" s="166"/>
      <x:c r="I2" s="166"/>
      <x:c r="J2" s="166"/>
    </x:row>
    <x:row r="4" ht="22" customHeight="1">
      <x:c r="A4" s="176" t="str">
        <x:v>SOURCE REGISTER</x:v>
      </x:c>
      <x:c r="B4" s="176"/>
      <x:c r="C4" s="176"/>
      <x:c r="D4" s="176"/>
      <x:c r="E4" s="176"/>
      <x:c r="F4" s="176"/>
      <x:c r="G4" s="176"/>
      <x:c r="H4" s="176"/>
      <x:c r="I4" s="176"/>
      <x:c r="J4" s="176"/>
    </x:row>
    <x:row r="6" ht="32" customHeight="1">
      <x:c r="A6" s="173" t="str">
        <x:v>Deal ID</x:v>
      </x:c>
      <x:c r="B6" s="173" t="str">
        <x:v>Date</x:v>
      </x:c>
      <x:c r="C6" s="173" t="str">
        <x:v>Source</x:v>
      </x:c>
      <x:c r="D6" s="173" t="str">
        <x:v>URL</x:v>
      </x:c>
      <x:c r="E6" s="173" t="str">
        <x:v>Evidence</x:v>
      </x:c>
      <x:c r="F6" s="173" t="str">
        <x:v>Source Type</x:v>
      </x:c>
      <x:c r="G6" s="173" t="str">
        <x:v>Deal Status</x:v>
      </x:c>
      <x:c r="H6" s="173" t="str">
        <x:v>Quality Status</x:v>
      </x:c>
      <x:c r="I6" s="173" t="str">
        <x:v>Quality Score</x:v>
      </x:c>
      <x:c r="J6" s="173" t="str">
        <x:v>Headline</x:v>
      </x:c>
    </x:row>
    <x:row r="7">
      <x:c r="A7" s="147" t="str">
        <x:v>DL-moex-101536</x:v>
      </x:c>
      <x:c r="B7" s="149" t="n">
        <x:v>46202</x:v>
      </x:c>
      <x:c r="C7" s="147" t="str">
        <x:v>MOEX disclosure</x:v>
      </x:c>
      <x:c r="D7" s="155" t="str">
        <x:v>https://www.moex.com/n101536</x:v>
      </x:c>
      <x:c r="E7" s="147" t="str">
        <x:v>confirmed</x:v>
      </x:c>
      <x:c r="F7" s="147" t="str">
        <x:v>official_exchange</x:v>
      </x:c>
      <x:c r="G7" s="147" t="str">
        <x:v>Confirmed</x:v>
      </x:c>
      <x:c r="H7" s="147" t="str">
        <x:v>approved</x:v>
      </x:c>
      <x:c r="I7" s="151" t="n">
        <x:v>100</x:v>
      </x:c>
      <x:c r="J7" s="157" t="str">
        <x:v>Итоги выпуска биржевых облигаций</x:v>
      </x:c>
    </x:row>
    <x:row r="8">
      <x:c r="A8" s="87" t="str">
        <x:v>DL-4d8f7bcb385b1c88</x:v>
      </x:c>
      <x:c r="B8" s="88" t="n">
        <x:v>46201</x:v>
      </x:c>
      <x:c r="C8" s="87" t="str">
        <x:v>MTS Investor Relations</x:v>
      </x:c>
      <x:c r="D8" s="95" t="str">
        <x:v>https://ir.mts.ru/news_and_events/corporate_releases/details/742414</x:v>
      </x:c>
      <x:c r="E8" s="87" t="str">
        <x:v>confirmed</x:v>
      </x:c>
      <x:c r="F8" s="87" t="str">
        <x:v>public_web</x:v>
      </x:c>
      <x:c r="G8" s="87" t="str">
        <x:v>Closed</x:v>
      </x:c>
      <x:c r="H8" s="87" t="str">
        <x:v>approved</x:v>
      </x:c>
      <x:c r="I8" s="89" t="n">
        <x:v>100</x:v>
      </x:c>
      <x:c r="J8" s="90" t="str">
        <x:v>МТС успешно закрыла книгу биржевых облигаций 003Р-03 на 20 млрд руб.</x:v>
      </x:c>
    </x:row>
    <x:row r="9">
      <x:c r="A9" s="87" t="str">
        <x:v>DL-bfcdac2063ce29e4</x:v>
      </x:c>
      <x:c r="B9" s="88" t="n">
        <x:v>46201</x:v>
      </x:c>
      <x:c r="C9" s="87" t="str">
        <x:v>Финансы Mail</x:v>
      </x:c>
      <x:c r="D9" s="95" t="str">
        <x:v>https://finance.mail.ru/article/molodyie-investoryi-uvelichili-vlozheniya-v-obligatsii-v-dva-raza-69215293/</x:v>
      </x:c>
      <x:c r="E9" s="87" t="str">
        <x:v>unverified</x:v>
      </x:c>
      <x:c r="F9" s="87" t="str">
        <x:v>public_web</x:v>
      </x:c>
      <x:c r="G9" s="87" t="str">
        <x:v>Reported</x:v>
      </x:c>
      <x:c r="H9" s="87" t="str">
        <x:v>review</x:v>
      </x:c>
      <x:c r="I9" s="89" t="n">
        <x:v>75</x:v>
      </x:c>
      <x:c r="J9" s="90" t="str">
        <x:v>Молодые инвесторы увеличили вложения в облигации в два раза - Финансы Mail</x:v>
      </x:c>
    </x:row>
    <x:row r="10">
      <x:c r="A10" s="87" t="str">
        <x:v>DL-3c400018ff8f7b5b</x:v>
      </x:c>
      <x:c r="B10" s="88" t="n">
        <x:v>46200</x:v>
      </x:c>
      <x:c r="C10" s="87" t="str">
        <x:v>foreignpolicyjournal.com</x:v>
      </x:c>
      <x:c r="D10" s="95" t="str">
        <x:v>https://www.foreignpolicyjournal.com/2026/06/26/nebius-group-nasdaq-nbis-completes-eigen-ai-acquisition-analyst-lifts-stock-price-target-to-280/</x:v>
      </x:c>
      <x:c r="E10" s="87" t="str">
        <x:v>unverified</x:v>
      </x:c>
      <x:c r="F10" s="87" t="str">
        <x:v>public_web</x:v>
      </x:c>
      <x:c r="G10" s="87" t="str">
        <x:v>Reported</x:v>
      </x:c>
      <x:c r="H10" s="87" t="str">
        <x:v>rejected</x:v>
      </x:c>
      <x:c r="I10" s="89" t="n">
        <x:v>0</x:v>
      </x:c>
      <x:c r="J10" s="90" t="str">
        <x:v>Nebius Group ( NASDAQ : NBIS ) Completes Eigen AI Acquisition , Analyst Lifts Stock Price Target To $280</x:v>
      </x:c>
    </x:row>
    <x:row r="11">
      <x:c r="A11" s="87" t="str">
        <x:v>DL-moex-101473</x:v>
      </x:c>
      <x:c r="B11" s="88" t="n">
        <x:v>46199</x:v>
      </x:c>
      <x:c r="C11" s="87" t="str">
        <x:v>MOEX disclosure</x:v>
      </x:c>
      <x:c r="D11" s="95" t="str">
        <x:v>https://www.moex.com/n101473</x:v>
      </x:c>
      <x:c r="E11" s="87" t="str">
        <x:v>confirmed</x:v>
      </x:c>
      <x:c r="F11" s="87" t="str">
        <x:v>public_web</x:v>
      </x:c>
      <x:c r="G11" s="87" t="str">
        <x:v>Confirmed</x:v>
      </x:c>
      <x:c r="H11" s="87" t="str">
        <x:v>approved</x:v>
      </x:c>
      <x:c r="I11" s="89" t="n">
        <x:v>75</x:v>
      </x:c>
      <x:c r="J11" s="90" t="str">
        <x:v>О регистрации проспекта биржевых облигаций</x:v>
      </x:c>
    </x:row>
    <x:row r="12">
      <x:c r="A12" s="87" t="str">
        <x:v>DL-moex-101492</x:v>
      </x:c>
      <x:c r="B12" s="88" t="n">
        <x:v>46199</x:v>
      </x:c>
      <x:c r="C12" s="87" t="str">
        <x:v>MOEX disclosure</x:v>
      </x:c>
      <x:c r="D12" s="95" t="str">
        <x:v>https://www.moex.com/n101492</x:v>
      </x:c>
      <x:c r="E12" s="87" t="str">
        <x:v>confirmed</x:v>
      </x:c>
      <x:c r="F12" s="87" t="str">
        <x:v>official_exchange</x:v>
      </x:c>
      <x:c r="G12" s="87" t="str">
        <x:v>Confirmed</x:v>
      </x:c>
      <x:c r="H12" s="87" t="str">
        <x:v>approved</x:v>
      </x:c>
      <x:c r="I12" s="89" t="n">
        <x:v>75</x:v>
      </x:c>
      <x:c r="J12" s="90" t="str">
        <x:v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x:v>
      </x:c>
    </x:row>
    <x:row r="13">
      <x:c r="A13" s="87" t="str">
        <x:v>DL-moex-101468</x:v>
      </x:c>
      <x:c r="B13" s="88" t="n">
        <x:v>46199</x:v>
      </x:c>
      <x:c r="C13" s="87" t="str">
        <x:v>MOEX disclosure</x:v>
      </x:c>
      <x:c r="D13" s="95" t="str">
        <x:v>https://www.moex.com/n101468</x:v>
      </x:c>
      <x:c r="E13" s="87" t="str">
        <x:v>confirmed</x:v>
      </x:c>
      <x:c r="F13" s="87" t="str">
        <x:v>public_web</x:v>
      </x:c>
      <x:c r="G13" s="87" t="str">
        <x:v>Confirmed</x:v>
      </x:c>
      <x:c r="H13" s="87" t="str">
        <x:v>rejected</x:v>
      </x:c>
      <x:c r="I13" s="89" t="n">
        <x:v>15</x:v>
      </x:c>
      <x:c r="J13" s="90" t="str">
        <x:v>О регистрации изменений в эмиссионные документы</x:v>
      </x:c>
    </x:row>
    <x:row r="14">
      <x:c r="A14" s="87" t="str">
        <x:v>DL-moex-101457</x:v>
      </x:c>
      <x:c r="B14" s="88" t="n">
        <x:v>46199</x:v>
      </x:c>
      <x:c r="C14" s="87" t="str">
        <x:v>MOEX disclosure</x:v>
      </x:c>
      <x:c r="D14" s="95" t="str">
        <x:v>https://www.moex.com/n101457</x:v>
      </x:c>
      <x:c r="E14" s="87" t="str">
        <x:v>confirmed</x:v>
      </x:c>
      <x:c r="F14" s="87" t="str">
        <x:v>public_web</x:v>
      </x:c>
      <x:c r="G14" s="87" t="str">
        <x:v>Confirmed</x:v>
      </x:c>
      <x:c r="H14" s="87" t="str">
        <x:v>approved</x:v>
      </x:c>
      <x:c r="I14" s="89" t="n">
        <x:v>75</x:v>
      </x:c>
      <x:c r="J14" s="90" t="str">
        <x:v>О порядке сбора заявок и заключения сделок при размещении облигаций серии Б-1-403 Банк ВТБ (публичное акционерное общество) с 29 июня 2026 года</x:v>
      </x:c>
    </x:row>
    <x:row r="15">
      <x:c r="A15" s="87" t="str">
        <x:v>DL-moex-101454</x:v>
      </x:c>
      <x:c r="B15" s="88" t="n">
        <x:v>46199</x:v>
      </x:c>
      <x:c r="C15" s="87" t="str">
        <x:v>MOEX disclosure</x:v>
      </x:c>
      <x:c r="D15" s="95" t="str">
        <x:v>https://www.moex.com/n101454</x:v>
      </x:c>
      <x:c r="E15" s="87" t="str">
        <x:v>confirmed</x:v>
      </x:c>
      <x:c r="F15" s="87" t="str">
        <x:v>public_web</x:v>
      </x:c>
      <x:c r="G15" s="87" t="str">
        <x:v>Confirmed</x:v>
      </x:c>
      <x:c r="H15" s="87" t="str">
        <x:v>approved</x:v>
      </x:c>
      <x:c r="I15" s="89" t="n">
        <x:v>75</x:v>
      </x:c>
      <x:c r="J15" s="90" t="str">
        <x:v>О порядке приобретения облигаций серии 001P-04 ООО "АРЕНЗА-ПРО" с 29 июня 2026 год</x:v>
      </x:c>
    </x:row>
    <x:row r="16">
      <x:c r="A16" s="87" t="str">
        <x:v>DL-moex-101451</x:v>
      </x:c>
      <x:c r="B16" s="88" t="n">
        <x:v>46199</x:v>
      </x:c>
      <x:c r="C16" s="87" t="str">
        <x:v>MOEX disclosure</x:v>
      </x:c>
      <x:c r="D16" s="95" t="str">
        <x:v>https://www.moex.com/n101451</x:v>
      </x:c>
      <x:c r="E16" s="87" t="str">
        <x:v>confirmed</x:v>
      </x:c>
      <x:c r="F16" s="87" t="str">
        <x:v>public_web</x:v>
      </x:c>
      <x:c r="G16" s="87" t="str">
        <x:v>Confirmed</x:v>
      </x:c>
      <x:c r="H16" s="87" t="str">
        <x:v>rejected</x:v>
      </x:c>
      <x:c r="I16" s="89" t="n">
        <x:v>15</x:v>
      </x:c>
      <x:c r="J16" s="90" t="str">
        <x:v>О проведении выкупа облигаций с 29 июня по 03 июля 2026 года</x:v>
      </x:c>
    </x:row>
    <x:row r="17">
      <x:c r="A17" s="87" t="str">
        <x:v>DL-moex-101450</x:v>
      </x:c>
      <x:c r="B17" s="88" t="n">
        <x:v>46199</x:v>
      </x:c>
      <x:c r="C17" s="87" t="str">
        <x:v>MOEX disclosure</x:v>
      </x:c>
      <x:c r="D17" s="95" t="str">
        <x:v>https://www.moex.com/n101450</x:v>
      </x:c>
      <x:c r="E17" s="87" t="str">
        <x:v>confirmed</x:v>
      </x:c>
      <x:c r="F17" s="87" t="str">
        <x:v>public_web</x:v>
      </x:c>
      <x:c r="G17" s="87" t="str">
        <x:v>Confirmed</x:v>
      </x:c>
      <x:c r="H17" s="87" t="str">
        <x:v>rejected</x:v>
      </x:c>
      <x:c r="I17" s="89" t="n">
        <x:v>15</x:v>
      </x:c>
      <x:c r="J17" s="90" t="str">
        <x:v>Дополнительные условия проведения торгов по выкупу облигаций серии 003Р-02 ООО "Концерн "РОССИУМ" 26 июня 2026 года</x:v>
      </x:c>
    </x:row>
    <x:row r="18">
      <x:c r="A18" s="87" t="str">
        <x:v>DL-bec65812ff9fcfae</x:v>
      </x:c>
      <x:c r="B18" s="88" t="n">
        <x:v>46197</x:v>
      </x:c>
      <x:c r="C18" s="87" t="str">
        <x:v>ComNews.ru</x:v>
      </x:c>
      <x:c r="D18" s="95" t="str">
        <x:v>https://www.comnews.ru/content/246003/2026-06-25/2026-w26/1008/selectel-razmestit-obligacii-5-mlrd-rub-dlya-refinansirovaniya-i-investiciy</x:v>
      </x:c>
      <x:c r="E18" s="87" t="str">
        <x:v>unverified</x:v>
      </x:c>
      <x:c r="F18" s="87" t="str">
        <x:v>public_web</x:v>
      </x:c>
      <x:c r="G18" s="87" t="str">
        <x:v>Announced</x:v>
      </x:c>
      <x:c r="H18" s="87" t="str">
        <x:v>review</x:v>
      </x:c>
      <x:c r="I18" s="89" t="n">
        <x:v>75</x:v>
      </x:c>
      <x:c r="J18" s="90" t="str">
        <x:v>Selectel разместит облигации на 5 млрд руб. для рефинансирования и инвестиций - ComNews.ru</x:v>
      </x:c>
    </x:row>
    <x:row r="19">
      <x:c r="A19" s="87" t="str">
        <x:v>DL-7a721642a53e0f1d</x:v>
      </x:c>
      <x:c r="B19" s="88" t="n">
        <x:v>46192</x:v>
      </x:c>
      <x:c r="C19" s="87" t="str">
        <x:v>Yandex Investor Relations</x:v>
      </x:c>
      <x:c r="D19" s="95" t="str">
        <x:v>https://ir.yandex.ru/press-releases?year=2026&amp;id=19-06-2026-03</x:v>
      </x:c>
      <x:c r="E19" s="87" t="str">
        <x:v>confirmed</x:v>
      </x:c>
      <x:c r="F19" s="87" t="str">
        <x:v>public_web</x:v>
      </x:c>
      <x:c r="G19" s="87" t="str">
        <x:v>Issued</x:v>
      </x:c>
      <x:c r="H19" s="87" t="str">
        <x:v>approved</x:v>
      </x:c>
      <x:c r="I19" s="89" t="n">
        <x:v>100</x:v>
      </x:c>
      <x:c r="J19" s="90" t="str">
        <x:v>Яндекс разместил два выпуска биржевых облигаций на общую сумму 60 млрд рублей</x:v>
      </x:c>
    </x:row>
    <x:row r="20" ht="22" customHeight="1">
      <x:c r="A20" s="87" t="str">
        <x:v>DL-9092ffd6a36a0a81</x:v>
      </x:c>
      <x:c r="B20" s="88" t="n">
        <x:v>46183</x:v>
      </x:c>
      <x:c r="C20" s="87" t="str">
        <x:v>Интерфакс</x:v>
      </x:c>
      <x:c r="D20" s="95" t="str">
        <x:v>https://news.google.com/rss/articles/CBMiUkFVX3lxTE1YcWRJT1pJS3JQYUlDcVBxQmRrd2JFXzdidEJQMkRoTFVIRlBDUnQ5ZjNSMFZGamhRQ1hoTXFwaUVQMW1PZldFWWhvSzdOdmtSQnfSAUtBVV95cUxQWkQ5UHd5NFJieHBKUTVCZURpX1dEWmM4a2FnOXJ3aUREYi04ZGFUclFMNUxBdU1EMFVYWUU4MlhCaXJfTy1NZlVNXzg?oc=5</x:v>
      </x:c>
      <x:c r="E20" s="87" t="str">
        <x:v>unverified</x:v>
      </x:c>
      <x:c r="F20" s="87" t="str">
        <x:v>public_web</x:v>
      </x:c>
      <x:c r="G20" s="87" t="str">
        <x:v>Reported</x:v>
      </x:c>
      <x:c r="H20" s="87" t="str">
        <x:v>review</x:v>
      </x:c>
      <x:c r="I20" s="89" t="n">
        <x:v>67</x:v>
      </x:c>
      <x:c r="J20" s="90" t="str">
        <x:v>"Норникель" зафиксировал объем размещения облигаций на уровне 3 млрд юаней - Интерфакс</x:v>
      </x:c>
    </x:row>
    <x:row r="21">
      <x:c r="A21" s="87" t="str">
        <x:v>DL-f71ff729dc9f5af4</x:v>
      </x:c>
      <x:c r="B21" s="88" t="n">
        <x:v>46181</x:v>
      </x:c>
      <x:c r="C21" s="87" t="str">
        <x:v>Финам</x:v>
      </x:c>
      <x:c r="D21" s="95" t="str">
        <x:v>https://www.finam.ru/publications/item/yandeks-vnov-vykhodit-na-dolgovoy-rynok-razbor-dvoynogo-razmeshcheniya-obligatsiy-20260608-1729/</x:v>
      </x:c>
      <x:c r="E21" s="87" t="str">
        <x:v>unverified</x:v>
      </x:c>
      <x:c r="F21" s="87" t="str">
        <x:v>public_web</x:v>
      </x:c>
      <x:c r="G21" s="87" t="str">
        <x:v>Reported</x:v>
      </x:c>
      <x:c r="H21" s="87" t="str">
        <x:v>review</x:v>
      </x:c>
      <x:c r="I21" s="89" t="n">
        <x:v>75</x:v>
      </x:c>
      <x:c r="J21" s="90" t="str">
        <x:v>«Яндекс» вновь выходит на долговой рынок: разбор двойного размещения облигаций - Финам</x:v>
      </x:c>
    </x:row>
    <x:row r="22" ht="32" customHeight="1">
      <x:c r="A22" s="87" t="str">
        <x:v>DL-c0e4b0469b5eb473</x:v>
      </x:c>
      <x:c r="B22" s="88" t="n">
        <x:v>46177</x:v>
      </x:c>
      <x:c r="C22" s="87" t="str">
        <x:v>БКС Экспресс</x:v>
      </x:c>
      <x:c r="D22" s="95" t="str">
        <x:v>https://bcs-express.ru/novosti-i-analitika/gref-oproverg-dogovorennost-sbera-o-pokupke-doli-v-ozone</x:v>
      </x:c>
      <x:c r="E22" s="87" t="str">
        <x:v>unverified</x:v>
      </x:c>
      <x:c r="F22" s="87" t="str">
        <x:v>public_web</x:v>
      </x:c>
      <x:c r="G22" s="87" t="str">
        <x:v>Denied</x:v>
      </x:c>
      <x:c r="H22" s="87" t="str">
        <x:v>review</x:v>
      </x:c>
      <x:c r="I22" s="89" t="n">
        <x:v>65</x:v>
      </x:c>
      <x:c r="J22" s="90" t="str">
        <x:v>Греф опроверг договоренность Сбера о покупке доли в Озоне - БКС Экспресс</x:v>
      </x:c>
    </x:row>
    <x:row r="23">
      <x:c r="A23" s="87" t="str">
        <x:v>DL-c0e4b0469b5eb473</x:v>
      </x:c>
      <x:c r="B23" s="88" t="n">
        <x:v>46177</x:v>
      </x:c>
      <x:c r="C23" s="87" t="str">
        <x:v>Сибирское информационное агентство</x:v>
      </x:c>
      <x:c r="D23" s="95" t="str">
        <x:v>https://sia.ru/?section\=484\&amp;action\=show_news\&amp;id\=16828609</x:v>
      </x:c>
      <x:c r="E23" s="87" t="str">
        <x:v>unverified</x:v>
      </x:c>
      <x:c r="F23" s="87" t="str">
        <x:v>public_web</x:v>
      </x:c>
      <x:c r="G23" s="87" t="str">
        <x:v>Denied</x:v>
      </x:c>
      <x:c r="H23" s="87" t="str">
        <x:v>review</x:v>
      </x:c>
      <x:c r="I23" s="89" t="n">
        <x:v>65</x:v>
      </x:c>
      <x:c r="J23" s="90" t="str">
        <x:v>Греф опроверг договоренность Сбера о покупке доли в Озоне - БКС Экспресс</x:v>
      </x:c>
    </x:row>
    <x:row r="24">
      <x:c r="A24" s="87" t="str">
        <x:v>DL-c0e4b0469b5eb473</x:v>
      </x:c>
      <x:c r="B24" s="88" t="n">
        <x:v>46177</x:v>
      </x:c>
      <x:c r="C24" s="87" t="str">
        <x:v>RB.ru</x:v>
      </x:c>
      <x:c r="D24" s="95" t="str">
        <x:v>https://rb.ru/news/sber-mozhet-kupit-akcii-v-ozon-na-30-mlrd-investkompaniya-afk-sistema-otricaet-informaciyu-o-prodazhe-doli/</x:v>
      </x:c>
      <x:c r="E24" s="87" t="str">
        <x:v>unverified</x:v>
      </x:c>
      <x:c r="F24" s="87" t="str">
        <x:v>public_web</x:v>
      </x:c>
      <x:c r="G24" s="87" t="str">
        <x:v>Denied</x:v>
      </x:c>
      <x:c r="H24" s="87" t="str">
        <x:v>review</x:v>
      </x:c>
      <x:c r="I24" s="89" t="n">
        <x:v>65</x:v>
      </x:c>
      <x:c r="J24" s="90" t="str">
        <x:v>Греф опроверг договоренность Сбера о покупке доли в Озоне - БКС Экспресс</x:v>
      </x:c>
    </x:row>
    <x:row r="25">
      <x:c r="A25" s="87" t="str">
        <x:v>DL-c0e4b0469b5eb473</x:v>
      </x:c>
      <x:c r="B25" s="88" t="n">
        <x:v>46177</x:v>
      </x:c>
      <x:c r="C25" s="87" t="str">
        <x:v>Альфа-Банк</x:v>
      </x:c>
      <x:c r="D25" s="95" t="str">
        <x:v>https://alfabank.ru/alfa-investor/posts/t/2af58b47-265b-f111-91c6-0050569e1fd0/</x:v>
      </x:c>
      <x:c r="E25" s="87" t="str">
        <x:v>unverified</x:v>
      </x:c>
      <x:c r="F25" s="87" t="str">
        <x:v>public_web</x:v>
      </x:c>
      <x:c r="G25" s="87" t="str">
        <x:v>Denied</x:v>
      </x:c>
      <x:c r="H25" s="87" t="str">
        <x:v>review</x:v>
      </x:c>
      <x:c r="I25" s="89" t="n">
        <x:v>65</x:v>
      </x:c>
      <x:c r="J25" s="90" t="str">
        <x:v>Греф опроверг договоренность Сбера о покупке доли в Озоне - БКС Экспресс</x:v>
      </x:c>
    </x:row>
    <x:row r="26">
      <x:c r="A26" s="87" t="str">
        <x:v>DL-c0e4b0469b5eb473</x:v>
      </x:c>
      <x:c r="B26" s="88" t="n">
        <x:v>46177</x:v>
      </x:c>
      <x:c r="C26" s="87" t="str">
        <x:v>Альфа-Банк</x:v>
      </x:c>
      <x:c r="D26" s="95" t="str">
        <x:v>https://alfabank.ru/alfa-investor/posts/t/06d3da91-dd5a-f111-91c6-0050569e1fd0/</x:v>
      </x:c>
      <x:c r="E26" s="87" t="str">
        <x:v>unverified</x:v>
      </x:c>
      <x:c r="F26" s="87" t="str">
        <x:v>public_web</x:v>
      </x:c>
      <x:c r="G26" s="87" t="str">
        <x:v>Denied</x:v>
      </x:c>
      <x:c r="H26" s="87" t="str">
        <x:v>review</x:v>
      </x:c>
      <x:c r="I26" s="89" t="n">
        <x:v>65</x:v>
      </x:c>
      <x:c r="J26" s="90" t="str">
        <x:v>Греф опроверг договоренность Сбера о покупке доли в Озоне - БКС Экспресс</x:v>
      </x:c>
    </x:row>
    <x:row r="27">
      <x:c r="A27" s="87" t="str">
        <x:v>DL-c0e4b0469b5eb473</x:v>
      </x:c>
      <x:c r="B27" s="88" t="n">
        <x:v>46177</x:v>
      </x:c>
      <x:c r="C27" s="87" t="str">
        <x:v>Финам</x:v>
      </x:c>
      <x:c r="D27" s="95" t="str">
        <x:v>https://www.finam.ru/publications/item/aktsii-afk-sistema-podskochili-na-7-na-soobshcheniyakh-o-pokupke-doli-ozona-strukturami-sbera-20260528-1910/</x:v>
      </x:c>
      <x:c r="E27" s="87" t="str">
        <x:v>unverified</x:v>
      </x:c>
      <x:c r="F27" s="87" t="str">
        <x:v>public_web</x:v>
      </x:c>
      <x:c r="G27" s="87" t="str">
        <x:v>Denied</x:v>
      </x:c>
      <x:c r="H27" s="87" t="str">
        <x:v>review</x:v>
      </x:c>
      <x:c r="I27" s="89" t="n">
        <x:v>65</x:v>
      </x:c>
      <x:c r="J27" s="90" t="str">
        <x:v>Греф опроверг договоренность Сбера о покупке доли в Озоне - БКС Экспресс</x:v>
      </x:c>
    </x:row>
    <x:row r="28">
      <x:c r="A28" s="87" t="str">
        <x:v>DL-c0e4b0469b5eb473</x:v>
      </x:c>
      <x:c r="B28" s="88" t="n">
        <x:v>46177</x:v>
      </x:c>
      <x:c r="C28" s="87" t="str">
        <x:v>Интерфакс</x:v>
      </x:c>
      <x:c r="D28" s="95" t="str">
        <x:v>https://news.google.com/rss/articles/CBMiUkFVX3lxTE9GMUxsS2ZKR2JaU2ZhY1hRSmoteVVNM1V6U2pJQnFGblRETXk1b0pLLXl3VXNvREgwdVg4dmNyc3VBVWxFZ1ZjUmxILXlrWU80VVHSAUtBVV95cUxPM21YSmF3aGRJQThYblp1MEEyNGNLSnR0SzlnTG1ITWtJWXY5bU1Jdm9kWU5nRjRYOUoxRlFscTB5X2NHVUlWYmtDX0k?oc=5</x:v>
      </x:c>
      <x:c r="E28" s="87" t="str">
        <x:v>unverified</x:v>
      </x:c>
      <x:c r="F28" s="87" t="str">
        <x:v>public_web</x:v>
      </x:c>
      <x:c r="G28" s="87" t="str">
        <x:v>Denied</x:v>
      </x:c>
      <x:c r="H28" s="87" t="str">
        <x:v>review</x:v>
      </x:c>
      <x:c r="I28" s="89" t="n">
        <x:v>65</x:v>
      </x:c>
      <x:c r="J28" s="90" t="str">
        <x:v>Греф опроверг договоренность Сбера о покупке доли в Озоне - БКС Экспресс</x:v>
      </x:c>
    </x:row>
    <x:row r="29">
      <x:c r="A29" s="87" t="str">
        <x:v>DL-5eba3b27a4e84dd3</x:v>
      </x:c>
      <x:c r="B29" s="88" t="n">
        <x:v>46175</x:v>
      </x:c>
      <x:c r="C29" s="87" t="str">
        <x:v>Yandex Investor Relations</x:v>
      </x:c>
      <x:c r="D29" s="95" t="str">
        <x:v>https://ir.yandex.ru/press-releases?year=2026&amp;id=02-06-2026-04</x:v>
      </x:c>
      <x:c r="E29" s="87" t="str">
        <x:v>confirmed</x:v>
      </x:c>
      <x:c r="F29" s="87" t="str">
        <x:v>public_web</x:v>
      </x:c>
      <x:c r="G29" s="87" t="str">
        <x:v>Closed</x:v>
      </x:c>
      <x:c r="H29" s="87" t="str">
        <x:v>approved</x:v>
      </x:c>
      <x:c r="I29" s="89" t="n">
        <x:v>100</x:v>
      </x:c>
      <x:c r="J29" s="90" t="str">
        <x:v>Яндекс закрыл сделку по продаже Авто.ру</x:v>
      </x:c>
    </x:row>
    <x:row r="30">
      <x:c r="A30" s="87" t="str">
        <x:v>DL-5eba3b27a4e84dd3</x:v>
      </x:c>
      <x:c r="B30" s="88" t="n">
        <x:v>46175</x:v>
      </x:c>
      <x:c r="C30" s="87" t="str">
        <x:v>БКС Экспресс</x:v>
      </x:c>
      <x:c r="D30" s="95" t="str">
        <x:v>https://bcs-express.ru/novosti-i-analitika/t-tekhnologii-zakryli-sdelku-po-pokupke-avto-ru-u-iandeksa</x:v>
      </x:c>
      <x:c r="E30" s="87" t="str">
        <x:v>unverified</x:v>
      </x:c>
      <x:c r="F30" s="87" t="str">
        <x:v>public_web</x:v>
      </x:c>
      <x:c r="G30" s="87" t="str">
        <x:v>Closed</x:v>
      </x:c>
      <x:c r="H30" s="87" t="str">
        <x:v>approved</x:v>
      </x:c>
      <x:c r="I30" s="89" t="n">
        <x:v>100</x:v>
      </x:c>
      <x:c r="J30" s="90" t="str">
        <x:v>Яндекс закрыл сделку по продаже Авто.ру</x:v>
      </x:c>
    </x:row>
    <x:row r="31">
      <x:c r="A31" s="87" t="str">
        <x:v>DL-5eba3b27a4e84dd3</x:v>
      </x:c>
      <x:c r="B31" s="88" t="n">
        <x:v>46175</x:v>
      </x:c>
      <x:c r="C31" s="87" t="str">
        <x:v>Финам</x:v>
      </x:c>
      <x:c r="D31" s="95" t="str">
        <x:v>https://www.finam.ru/publications/item/yandeks-prodal-avtoru-t-tekhnologiyam-20260602-1802/</x:v>
      </x:c>
      <x:c r="E31" s="87" t="str">
        <x:v>unverified</x:v>
      </x:c>
      <x:c r="F31" s="87" t="str">
        <x:v>public_web</x:v>
      </x:c>
      <x:c r="G31" s="87" t="str">
        <x:v>Closed</x:v>
      </x:c>
      <x:c r="H31" s="87" t="str">
        <x:v>approved</x:v>
      </x:c>
      <x:c r="I31" s="89" t="n">
        <x:v>100</x:v>
      </x:c>
      <x:c r="J31" s="90" t="str">
        <x:v>Яндекс закрыл сделку по продаже Авто.ру</x:v>
      </x:c>
    </x:row>
    <x:row r="32">
      <x:c r="A32" s="87" t="str">
        <x:v>DL-e08040bba3b952c1</x:v>
      </x:c>
      <x:c r="B32" s="88" t="n">
        <x:v>46170</x:v>
      </x:c>
      <x:c r="C32" s="87" t="str">
        <x:v>Финам</x:v>
      </x:c>
      <x:c r="D32" s="95" t="str">
        <x:v>https://www.finam.ru/publications/item/yandeks-stal-osnovnym-pretendentom-na-pokupku-ostrovka-20260528-0928/</x:v>
      </x:c>
      <x:c r="E32" s="87" t="str">
        <x:v>unverified</x:v>
      </x:c>
      <x:c r="F32" s="87" t="str">
        <x:v>public_web</x:v>
      </x:c>
      <x:c r="G32" s="87" t="str">
        <x:v>Reported</x:v>
      </x:c>
      <x:c r="H32" s="87" t="str">
        <x:v>review</x:v>
      </x:c>
      <x:c r="I32" s="89" t="n">
        <x:v>75</x:v>
      </x:c>
      <x:c r="J32" s="90" t="str">
        <x:v>"Яндекс" стал основным претендентом на покупку "Островка" - Финам</x:v>
      </x:c>
    </x:row>
    <x:row r="33">
      <x:c r="A33" s="87" t="str">
        <x:v>DL-54c26c1e05d520bd</x:v>
      </x:c>
      <x:c r="B33" s="88" t="n">
        <x:v>46167</x:v>
      </x:c>
      <x:c r="C33" s="87" t="str">
        <x:v>Финам</x:v>
      </x:c>
      <x:c r="D33" s="95" t="str">
        <x:v>https://www.finam.ru/publications/item/posledniy-den-pokupki-aktsiy-ozona-pod-dividendy-25-maya-20260525-0652/</x:v>
      </x:c>
      <x:c r="E33" s="87" t="str">
        <x:v>unverified</x:v>
      </x:c>
      <x:c r="F33" s="87" t="str">
        <x:v>public_web</x:v>
      </x:c>
      <x:c r="G33" s="87" t="str">
        <x:v>Reported</x:v>
      </x:c>
      <x:c r="H33" s="87" t="str">
        <x:v>rejected</x:v>
      </x:c>
      <x:c r="I33" s="89" t="n">
        <x:v>0</x:v>
      </x:c>
      <x:c r="J33" s="90" t="str">
        <x:v>25.05.26 Последний день покупки акций “Озона” под дивиденды - 25 мая - Финам</x:v>
      </x:c>
    </x:row>
    <x:row r="34">
      <x:c r="A34" s="87" t="str">
        <x:v>DL-71b6decbb78f4293</x:v>
      </x:c>
      <x:c r="B34" s="88" t="n">
        <x:v>46162</x:v>
      </x:c>
      <x:c r="C34" s="87" t="str">
        <x:v>БКС Экспресс</x:v>
      </x:c>
      <x:c r="D34" s="95" t="str">
        <x:v>https://bcs-express.ru/novosti-i-analitika/aktsionery-ozon-utverdili-final-nye-dividendy-za-2025</x:v>
      </x:c>
      <x:c r="E34" s="87" t="str">
        <x:v>unverified</x:v>
      </x:c>
      <x:c r="F34" s="87" t="str">
        <x:v>public_web</x:v>
      </x:c>
      <x:c r="G34" s="87" t="str">
        <x:v>Reported</x:v>
      </x:c>
      <x:c r="H34" s="87" t="str">
        <x:v>rejected</x:v>
      </x:c>
      <x:c r="I34" s="89" t="n">
        <x:v>15</x:v>
      </x:c>
      <x:c r="J34" s="90" t="str">
        <x:v>Акционеры Озона утвердили финальные дивиденды за 2025 - БКС Экспресс</x:v>
      </x:c>
    </x:row>
    <x:row r="35">
      <x:c r="A35" s="87" t="str">
        <x:v>DL-38b5154e2b53df8c</x:v>
      </x:c>
      <x:c r="B35" s="88" t="n">
        <x:v>46157</x:v>
      </x:c>
      <x:c r="C35" s="87" t="str">
        <x:v>Финам</x:v>
      </x:c>
      <x:c r="D35" s="95" t="str">
        <x:v>https://www.finam.ru/publications/item/otchetnosti-zaymera-bsp-i-sovkombanka-dividendnyy-vopros-u-ozona-i-md-medikal-osnovnye-sobytiya-15-maya-20260515-0900/</x:v>
      </x:c>
      <x:c r="E35" s="87" t="str">
        <x:v>unverified</x:v>
      </x:c>
      <x:c r="F35" s="87" t="str">
        <x:v>public_web</x:v>
      </x:c>
      <x:c r="G35" s="87" t="str">
        <x:v>Reported</x:v>
      </x:c>
      <x:c r="H35" s="87" t="str">
        <x:v>rejected</x:v>
      </x:c>
      <x:c r="I35" s="89" t="n">
        <x:v>15</x:v>
      </x:c>
      <x:c r="J35" s="90" t="str">
        <x:v>Отчетности «Займера», БСП и «Совкомбанка», дивидендный вопрос у «Озона» и «МД Медикал» - основные события 15 мая 15.05.2026 - Финам</x:v>
      </x:c>
    </x:row>
    <x:row r="36">
      <x:c r="A36" s="87" t="str">
        <x:v>DL-32f044efd41bc454</x:v>
      </x:c>
      <x:c r="B36" s="88" t="n">
        <x:v>46157</x:v>
      </x:c>
      <x:c r="C36" s="87" t="str">
        <x:v>Интерфакс</x:v>
      </x:c>
      <x:c r="D36" s="95" t="str">
        <x:v>https://news.google.com/rss/articles/CBMiUkFVX3lxTE1SRWp6YUhObThSanNWWnBCQjlnX0xPVW1fQzJPSlJxM3JxcVhVTWlJaWZVcW5VNXFTQjU0RkJ6cC0wem9DTUNLZWlXeXZmMDhyUlHSAUtBVV95cUxPaFhNLWM1eThHQVJpOEg0TEpxT1BjRk5IdTEyYmFOdzNCOEluQmtLU3pmcXViOW5PM1gwR3ZsT2RhZEVCLTkwQ1RMZk0?oc=5</x:v>
      </x:c>
      <x:c r="E36" s="87" t="str">
        <x:v>unverified</x:v>
      </x:c>
      <x:c r="F36" s="87" t="str">
        <x:v>public_web</x:v>
      </x:c>
      <x:c r="G36" s="87" t="str">
        <x:v>Reported</x:v>
      </x:c>
      <x:c r="H36" s="87" t="str">
        <x:v>rejected</x:v>
      </x:c>
      <x:c r="I36" s="89" t="n">
        <x:v>0</x:v>
      </x:c>
      <x:c r="J36" s="90" t="str">
        <x:v>Трамп в I квартале совершал сделки с акциями Nvidia и Boeing - Интерфакс</x:v>
      </x:c>
    </x:row>
    <x:row r="37">
      <x:c r="A37" s="87" t="str">
        <x:v>DL-71608263fecb5e53</x:v>
      </x:c>
      <x:c r="B37" s="88" t="n">
        <x:v>46150</x:v>
      </x:c>
      <x:c r="C37" s="87" t="str">
        <x:v>Интерфакс</x:v>
      </x:c>
      <x:c r="D37" s="95" t="str">
        <x:v>https://news.google.com/rss/articles/CBMiUkFVX3lxTE5rRHd6NXMzNkpDcVZDdVR4NXhZN185LXRRSDMzVzZiUGd4cmNqV1BydzRLTnh4cHJnU19qNnQ1X05XMDl6VnBjVlBXY0NUOUZ3VlHSAUtBVV95cUxQOHVvOS00aURkZ3lDUGZ6Sk9kYTVFSDJhcGNJQk1PVVR2ZFJwWnZlRGZ4eW85TS15QUs4bmkxOWUzQW5PbGpDeUVnOVk?oc=5</x:v>
      </x:c>
      <x:c r="E37" s="87" t="str">
        <x:v>unverified</x:v>
      </x:c>
      <x:c r="F37" s="87" t="str">
        <x:v>public_web</x:v>
      </x:c>
      <x:c r="G37" s="87" t="str">
        <x:v>Reported</x:v>
      </x:c>
      <x:c r="H37" s="87" t="str">
        <x:v>rejected</x:v>
      </x:c>
      <x:c r="I37" s="89" t="n">
        <x:v>7</x:v>
      </x:c>
      <x:c r="J37" s="90" t="str">
        <x:v>"Делимобиль" перечислил в НРД средства для погашения выпуска облигаций на 1,9 млрд рублей - Интерфакс</x:v>
      </x:c>
    </x:row>
    <x:row r="38">
      <x:c r="A38" s="87" t="str">
        <x:v>DL-2848bdd8b067faa2</x:v>
      </x:c>
      <x:c r="B38" s="88" t="n">
        <x:v>46147</x:v>
      </x:c>
      <x:c r="C38" s="87" t="str">
        <x:v>БКС Экспресс</x:v>
      </x:c>
      <x:c r="D38" s="95" t="str">
        <x:v>https://bcs-express.ru/novosti-i-analitika/iandeks-odobril-vykup-aktsii-na-50-mlrd-rublei</x:v>
      </x:c>
      <x:c r="E38" s="87" t="str">
        <x:v>unverified</x:v>
      </x:c>
      <x:c r="F38" s="87" t="str">
        <x:v>public_web</x:v>
      </x:c>
      <x:c r="G38" s="87" t="str">
        <x:v>Reported</x:v>
      </x:c>
      <x:c r="H38" s="87" t="str">
        <x:v>review</x:v>
      </x:c>
      <x:c r="I38" s="89" t="n">
        <x:v>75</x:v>
      </x:c>
      <x:c r="J38" s="90" t="str">
        <x:v>Яндекс одобрил выкуп акций на 50 млрд рублей - БКС Экспресс</x:v>
      </x:c>
    </x:row>
    <x:row r="39">
      <x:c r="A39" s="87" t="str">
        <x:v>DL-3d4a31cc3b7936d0</x:v>
      </x:c>
      <x:c r="B39" s="88" t="n">
        <x:v>46146</x:v>
      </x:c>
      <x:c r="C39" s="87" t="str">
        <x:v>SberCIB</x:v>
      </x:c>
      <x:c r="D39" s="95" t="str">
        <x:v>https://sbercib.ru/publication/rezultati-ozon-dom-rf-dividendi-yandeksa-i-tatnefti-i-drugie-novosti-nedeli</x:v>
      </x:c>
      <x:c r="E39" s="87" t="str">
        <x:v>unverified</x:v>
      </x:c>
      <x:c r="F39" s="87" t="str">
        <x:v>public_web</x:v>
      </x:c>
      <x:c r="G39" s="87" t="str">
        <x:v>Reported</x:v>
      </x:c>
      <x:c r="H39" s="87" t="str">
        <x:v>rejected</x:v>
      </x:c>
      <x:c r="I39" s="89" t="n">
        <x:v>15</x:v>
      </x:c>
      <x:c r="J39" s="90" t="str">
        <x:v>Результаты Ozon, ДОМ. РФ, дивиденды Яндекса и Татнефти и другие новости недели - SberCIB</x:v>
      </x:c>
    </x:row>
    <x:row r="40">
      <x:c r="A40" s="87" t="str">
        <x:v>DL-6bc0569f7ac374fe</x:v>
      </x:c>
      <x:c r="B40" s="88" t="n">
        <x:v>46139</x:v>
      </x:c>
      <x:c r="C40" s="87" t="str">
        <x:v>Ведомости</x:v>
      </x:c>
      <x:c r="D40" s="95" t="str">
        <x:v>https://www.vedomosti.ru/finance/news/2026/04/27/1193355-putin-isklyuchil</x:v>
      </x:c>
      <x:c r="E40" s="87" t="str">
        <x:v>unverified</x:v>
      </x:c>
      <x:c r="F40" s="87" t="str">
        <x:v>public_web</x:v>
      </x:c>
      <x:c r="G40" s="87" t="str">
        <x:v>Reported</x:v>
      </x:c>
      <x:c r="H40" s="87" t="str">
        <x:v>rejected</x:v>
      </x:c>
      <x:c r="I40" s="89" t="n">
        <x:v>0</x:v>
      </x:c>
      <x:c r="J40" s="90" t="str">
        <x:v>Путин исключил «Озон банк» из списка с запретом на сделки с акциями и долями - Ведомости</x:v>
      </x:c>
    </x:row>
    <x:row r="41">
      <x:c r="A41" s="87" t="str">
        <x:v>DL-cc671fa6b14f8f28</x:v>
      </x:c>
      <x:c r="B41" s="88" t="n">
        <x:v>46139</x:v>
      </x:c>
      <x:c r="C41" s="87" t="str">
        <x:v>БКС Экспресс</x:v>
      </x:c>
      <x:c r="D41" s="95" t="str">
        <x:v>https://bcs-express.ru/novosti-i-analitika/ozon-bank-iskliuchen-iz-perechnia-bankov-s-aktsiiami-kotorykh-zapreshcheny-sdelki</x:v>
      </x:c>
      <x:c r="E41" s="87" t="str">
        <x:v>unverified</x:v>
      </x:c>
      <x:c r="F41" s="87" t="str">
        <x:v>public_web</x:v>
      </x:c>
      <x:c r="G41" s="87" t="str">
        <x:v>Reported</x:v>
      </x:c>
      <x:c r="H41" s="87" t="str">
        <x:v>rejected</x:v>
      </x:c>
      <x:c r="I41" s="89" t="n">
        <x:v>0</x:v>
      </x:c>
      <x:c r="J41" s="90" t="str">
        <x:v>Ozon Банк исключен из перечня банков, с акциями которых запрещены сделки - БКС Экспресс</x:v>
      </x:c>
    </x:row>
    <x:row r="42">
      <x:c r="A42" s="87" t="str">
        <x:v>DL-2d1ef3023240f32a</x:v>
      </x:c>
      <x:c r="B42" s="88" t="n">
        <x:v>46139</x:v>
      </x:c>
      <x:c r="C42" s="87" t="str">
        <x:v>Главпортал</x:v>
      </x:c>
      <x:c r="D42" s="95" t="str">
        <x:v>https://glavportal.com/news/putin-razreshil-sdelki-s-akciyami-ozon-banka</x:v>
      </x:c>
      <x:c r="E42" s="87" t="str">
        <x:v>unverified</x:v>
      </x:c>
      <x:c r="F42" s="87" t="str">
        <x:v>public_web</x:v>
      </x:c>
      <x:c r="G42" s="87" t="str">
        <x:v>Reported</x:v>
      </x:c>
      <x:c r="H42" s="87" t="str">
        <x:v>rejected</x:v>
      </x:c>
      <x:c r="I42" s="89" t="n">
        <x:v>0</x:v>
      </x:c>
      <x:c r="J42" s="90" t="str">
        <x:v>Путин разрешил сделки с акциями «Озон банка» - Главпортал</x:v>
      </x:c>
    </x:row>
    <x:row r="43">
      <x:c r="A43" s="87" t="str">
        <x:v>DL-2d1ef3023240f32a</x:v>
      </x:c>
      <x:c r="B43" s="88" t="n">
        <x:v>46139</x:v>
      </x:c>
      <x:c r="C43" s="87" t="str">
        <x:v>InvestFuture</x:v>
      </x:c>
      <x:c r="D43" s="95" t="str">
        <x:v>https://investfuture.ru/articles/putin-snyal-zapret-na-sdelki-s-aktsiyami-ozon-banka-v-rossii-1178931397</x:v>
      </x:c>
      <x:c r="E43" s="87" t="str">
        <x:v>unverified</x:v>
      </x:c>
      <x:c r="F43" s="87" t="str">
        <x:v>public_web</x:v>
      </x:c>
      <x:c r="G43" s="87" t="str">
        <x:v>Reported</x:v>
      </x:c>
      <x:c r="H43" s="87" t="str">
        <x:v>rejected</x:v>
      </x:c>
      <x:c r="I43" s="89" t="n">
        <x:v>0</x:v>
      </x:c>
      <x:c r="J43" s="90" t="str">
        <x:v>Путин разрешил сделки с акциями «Озон банка» - Главпортал</x:v>
      </x:c>
    </x:row>
    <x:row r="44">
      <x:c r="A44" s="87" t="str">
        <x:v>DL-dd21f961f579e55a</x:v>
      </x:c>
      <x:c r="B44" s="88" t="n">
        <x:v>46139</x:v>
      </x:c>
      <x:c r="C44" s="87" t="str">
        <x:v>Реальное время</x:v>
      </x:c>
      <x:c r="D44" s="95" t="str">
        <x:v>https://realnoevremya.ru/news/394463-s-ozon-banka-snyali-ogranicheniya-na-sdelki-s-akciyami-rasporyazhenie-putina</x:v>
      </x:c>
      <x:c r="E44" s="87" t="str">
        <x:v>unverified</x:v>
      </x:c>
      <x:c r="F44" s="87" t="str">
        <x:v>public_web</x:v>
      </x:c>
      <x:c r="G44" s="87" t="str">
        <x:v>Reported</x:v>
      </x:c>
      <x:c r="H44" s="87" t="str">
        <x:v>rejected</x:v>
      </x:c>
      <x:c r="I44" s="89" t="n">
        <x:v>0</x:v>
      </x:c>
      <x:c r="J44" s="90" t="str">
        <x:v>С «Озон банка» сняли ограничения на сделки с акциями — распоряжение Путина - Реальное время</x:v>
      </x:c>
    </x:row>
    <x:row r="45">
      <x:c r="A45" s="87" t="str">
        <x:v>DL-0bceebeca9933dc3</x:v>
      </x:c>
      <x:c r="B45" s="88" t="n">
        <x:v>46132</x:v>
      </x:c>
      <x:c r="C45" s="87" t="str">
        <x:v>Альфа-Банк</x:v>
      </x:c>
      <x:c r="D45" s="95" t="str">
        <x:v>https://alfabank.ru/alfa-investor/t/obligatsii-ozona-zarabotay-na-marketpleyse/</x:v>
      </x:c>
      <x:c r="E45" s="87" t="str">
        <x:v>unverified</x:v>
      </x:c>
      <x:c r="F45" s="87" t="str">
        <x:v>public_web</x:v>
      </x:c>
      <x:c r="G45" s="87" t="str">
        <x:v>Reported</x:v>
      </x:c>
      <x:c r="H45" s="87" t="str">
        <x:v>rejected</x:v>
      </x:c>
      <x:c r="I45" s="89" t="n">
        <x:v>15</x:v>
      </x:c>
      <x:c r="J45" s="90" t="str">
        <x:v>Облигации Озона: заработай на маркетплейсе - Альфа-Банк</x:v>
      </x:c>
    </x:row>
    <x:row r="46">
      <x:c r="A46" s="87" t="str">
        <x:v>DL-c10daba8af8e67d8</x:v>
      </x:c>
      <x:c r="B46" s="88" t="n">
        <x:v>46128</x:v>
      </x:c>
      <x:c r="C46" s="87" t="str">
        <x:v>RB.RU</x:v>
      </x:c>
      <x:c r="D46" s="95" t="str">
        <x:v>https://rb.ru/news/vk-prodal-25-akcij-tochka-banka-sdelku-ocenili-v-212-mlrd-vdvoe-vyshe-iznachalnoj-stoimosti-bumag/</x:v>
      </x:c>
      <x:c r="E46" s="87" t="str">
        <x:v>unverified</x:v>
      </x:c>
      <x:c r="F46" s="87" t="str">
        <x:v>public_web</x:v>
      </x:c>
      <x:c r="G46" s="87" t="str">
        <x:v>Reported</x:v>
      </x:c>
      <x:c r="H46" s="87" t="str">
        <x:v>review</x:v>
      </x:c>
      <x:c r="I46" s="89" t="n">
        <x:v>60</x:v>
      </x:c>
      <x:c r="J46" s="90" t="str">
        <x:v>VK продал 25% акций Точка Банка: сделку оценили в 21,2 млрд ₽ — вдвое выше изначальной стоимости бумаг - RB.RU</x:v>
      </x:c>
    </x:row>
    <x:row r="47">
      <x:c r="A47" s="87" t="str">
        <x:v>DL-c10daba8af8e67d8</x:v>
      </x:c>
      <x:c r="B47" s="88" t="n">
        <x:v>46128</x:v>
      </x:c>
      <x:c r="C47" s="87" t="str">
        <x:v>Ведомости</x:v>
      </x:c>
      <x:c r="D47" s="95" t="str">
        <x:v>https://www.vedomosti.ru/finance/news/2026/04/16/1190812-vk-prodala-dolyu</x:v>
      </x:c>
      <x:c r="E47" s="87" t="str">
        <x:v>unverified</x:v>
      </x:c>
      <x:c r="F47" s="87" t="str">
        <x:v>public_web</x:v>
      </x:c>
      <x:c r="G47" s="87" t="str">
        <x:v>Reported</x:v>
      </x:c>
      <x:c r="H47" s="87" t="str">
        <x:v>review</x:v>
      </x:c>
      <x:c r="I47" s="89" t="n">
        <x:v>60</x:v>
      </x:c>
      <x:c r="J47" s="90" t="str">
        <x:v>VK продал 25% акций Точка Банка: сделку оценили в 21,2 млрд ₽ — вдвое выше изначальной стоимости бумаг - RB.RU</x:v>
      </x:c>
    </x:row>
    <x:row r="48">
      <x:c r="A48" s="87" t="str">
        <x:v>DL-c10daba8af8e67d8</x:v>
      </x:c>
      <x:c r="B48" s="88" t="n">
        <x:v>46128</x:v>
      </x:c>
      <x:c r="C48" s="87" t="str">
        <x:v>CNews.ru</x:v>
      </x:c>
      <x:c r="D48" s="95" t="str">
        <x:v>https://www.cnews.ru/news/top/2026-04-16_vk_prodal_svoyu_dolyu_v_virtualnom</x:v>
      </x:c>
      <x:c r="E48" s="87" t="str">
        <x:v>unverified</x:v>
      </x:c>
      <x:c r="F48" s="87" t="str">
        <x:v>public_web</x:v>
      </x:c>
      <x:c r="G48" s="87" t="str">
        <x:v>Reported</x:v>
      </x:c>
      <x:c r="H48" s="87" t="str">
        <x:v>review</x:v>
      </x:c>
      <x:c r="I48" s="89" t="n">
        <x:v>60</x:v>
      </x:c>
      <x:c r="J48" s="90" t="str">
        <x:v>VK продал 25% акций Точка Банка: сделку оценили в 21,2 млрд ₽ — вдвое выше изначальной стоимости бумаг - RB.RU</x:v>
      </x:c>
    </x:row>
    <x:row r="49">
      <x:c r="A49" s="87" t="str">
        <x:v>DL-4774de17c61c14e4</x:v>
      </x:c>
      <x:c r="B49" s="88" t="n">
        <x:v>46122</x:v>
      </x:c>
      <x:c r="C49" s="87" t="str">
        <x:v>Финам</x:v>
      </x:c>
      <x:c r="D49" s="95" t="str">
        <x:v>https://www.finam.ru/publications/item/dvoynoe-razmeshchenie-obligatsiy-vk-chego-zhdat-chastnym-investoram-20260410-1829/</x:v>
      </x:c>
      <x:c r="E49" s="87" t="str">
        <x:v>unverified</x:v>
      </x:c>
      <x:c r="F49" s="87" t="str">
        <x:v>public_web</x:v>
      </x:c>
      <x:c r="G49" s="87" t="str">
        <x:v>Reported</x:v>
      </x:c>
      <x:c r="H49" s="87" t="str">
        <x:v>review</x:v>
      </x:c>
      <x:c r="I49" s="89" t="n">
        <x:v>75</x:v>
      </x:c>
      <x:c r="J49" s="90" t="str">
        <x:v>Двойное размещение облигаций VK. Чего ждать частным инвесторам? 10.04.2026 - Финам</x:v>
      </x:c>
    </x:row>
    <x:row r="50">
      <x:c r="A50" s="87" t="str">
        <x:v>DL-87f81143148d7276</x:v>
      </x:c>
      <x:c r="B50" s="88" t="n">
        <x:v>46122</x:v>
      </x:c>
      <x:c r="C50" s="87" t="str">
        <x:v>Альфа-Банк</x:v>
      </x:c>
      <x:c r="D50" s="95" t="str">
        <x:v>https://alfabank.ru/alfa-investor/posts/t/1238104e-fa34-f111-91c8-0050569ebac3/</x:v>
      </x:c>
      <x:c r="E50" s="87" t="str">
        <x:v>unverified</x:v>
      </x:c>
      <x:c r="F50" s="87" t="str">
        <x:v>public_web</x:v>
      </x:c>
      <x:c r="G50" s="87" t="str">
        <x:v>Reported</x:v>
      </x:c>
      <x:c r="H50" s="87" t="str">
        <x:v>rejected</x:v>
      </x:c>
      <x:c r="I50" s="89" t="n">
        <x:v>15</x:v>
      </x:c>
      <x:c r="J50" s="90" t="str">
        <x:v>Мы держим Ozon в портфеле роста, но не в дивидендном Хотя - Альфа-Банк</x:v>
      </x:c>
    </x:row>
    <x:row r="51">
      <x:c r="A51" s="87" t="str">
        <x:v>DL-1363a495ec14164a</x:v>
      </x:c>
      <x:c r="B51" s="88" t="n">
        <x:v>46115</x:v>
      </x:c>
      <x:c r="C51" s="87" t="str">
        <x:v>https://expert.ru</x:v>
      </x:c>
      <x:c r="D51" s="95" t="str">
        <x:v>https://expert.ru/news/ozon-anonsiroval-razmeshchenie-obligatsiy-na-15-mlrd-rubley</x:v>
      </x:c>
      <x:c r="E51" s="87" t="str">
        <x:v>unverified</x:v>
      </x:c>
      <x:c r="F51" s="87" t="str">
        <x:v>public_web</x:v>
      </x:c>
      <x:c r="G51" s="87" t="str">
        <x:v>Announced</x:v>
      </x:c>
      <x:c r="H51" s="87" t="str">
        <x:v>review</x:v>
      </x:c>
      <x:c r="I51" s="89" t="n">
        <x:v>75</x:v>
      </x:c>
      <x:c r="J51" s="90" t="str">
        <x:v>Ozon анонсировал размещение облигаций на 15 млрд рублей - https://expert.ru</x:v>
      </x:c>
    </x:row>
    <x:row r="52">
      <x:c r="A52" s="87" t="str">
        <x:v>DL-12855c6275c496fe</x:v>
      </x:c>
      <x:c r="B52" s="88" t="n">
        <x:v>46115</x:v>
      </x:c>
      <x:c r="C52" s="87" t="str">
        <x:v>БКС Экспресс</x:v>
      </x:c>
      <x:c r="D52" s="95" t="str">
        <x:v>https://bcs-express.ru/novosti-i-analitika/ozon-planiruet-debiutnoe-razmeshchenie-birzhevykh-obligatsii</x:v>
      </x:c>
      <x:c r="E52" s="87" t="str">
        <x:v>unverified</x:v>
      </x:c>
      <x:c r="F52" s="87" t="str">
        <x:v>public_web</x:v>
      </x:c>
      <x:c r="G52" s="87" t="str">
        <x:v>Announced</x:v>
      </x:c>
      <x:c r="H52" s="87" t="str">
        <x:v>review</x:v>
      </x:c>
      <x:c r="I52" s="89" t="n">
        <x:v>75</x:v>
      </x:c>
      <x:c r="J52" s="90" t="str">
        <x:v>Озон планирует дебютное размещение биржевых облигаций - БКС Экспресс</x:v>
      </x:c>
    </x:row>
    <x:row r="53">
      <x:c r="A53" s="87" t="str">
        <x:v>DL-d39c99c4c2dfa45c</x:v>
      </x:c>
      <x:c r="B53" s="88" t="n">
        <x:v>46111</x:v>
      </x:c>
      <x:c r="C53" s="87" t="str">
        <x:v>vk.company</x:v>
      </x:c>
      <x:c r="D53" s="95" t="str">
        <x:v>https://vk.company/investors/info/12271/</x:v>
      </x:c>
      <x:c r="E53" s="87" t="str">
        <x:v>unverified</x:v>
      </x:c>
      <x:c r="F53" s="87" t="str">
        <x:v>public_web</x:v>
      </x:c>
      <x:c r="G53" s="87" t="str">
        <x:v>Reported</x:v>
      </x:c>
      <x:c r="H53" s="87" t="str">
        <x:v>review</x:v>
      </x:c>
      <x:c r="I53" s="89" t="n">
        <x:v>75</x:v>
      </x:c>
      <x:c r="J53" s="90" t="str">
        <x:v>VK объявляет о планах по размещению биржевых облигаций объемом 10 млрд рублей - vk.company</x:v>
      </x:c>
    </x:row>
    <x:row r="54">
      <x:c r="A54" s="87" t="str">
        <x:v>DL-b9babb23f2c4462c</x:v>
      </x:c>
      <x:c r="B54" s="88" t="n">
        <x:v>46111</x:v>
      </x:c>
      <x:c r="C54" s="87" t="str">
        <x:v>Финам</x:v>
      </x:c>
      <x:c r="D54" s="95" t="str">
        <x:v>https://www.finam.ru/publications/item/vk-razmeshchaet-obligatsii-kak-eto-otrazitsya-na-investorakh-v-aktsii-20260330-1740/</x:v>
      </x:c>
      <x:c r="E54" s="87" t="str">
        <x:v>unverified</x:v>
      </x:c>
      <x:c r="F54" s="87" t="str">
        <x:v>public_web</x:v>
      </x:c>
      <x:c r="G54" s="87" t="str">
        <x:v>Reported</x:v>
      </x:c>
      <x:c r="H54" s="87" t="str">
        <x:v>review</x:v>
      </x:c>
      <x:c r="I54" s="89" t="n">
        <x:v>75</x:v>
      </x:c>
      <x:c r="J54" s="90" t="str">
        <x:v>VK размещает облигации: как это отразится на инвесторах в акции 30.03.2026 - Финам</x:v>
      </x:c>
    </x:row>
    <x:row r="55">
      <x:c r="A55" s="87" t="str">
        <x:v>DL-238a83afad61e805</x:v>
      </x:c>
      <x:c r="B55" s="88" t="n">
        <x:v>46080</x:v>
      </x:c>
      <x:c r="C55" s="87" t="str">
        <x:v>Selectel Newsroom</x:v>
      </x:c>
      <x:c r="D55" s="95" t="str">
        <x:v>https://selectel.ru/about/newsroom/news/selectel-razmestil-novyj-vypusk-obligaczij-i-privlek-7-milliardov-rublej-na-razvitie-biznesa/</x:v>
      </x:c>
      <x:c r="E55" s="87" t="str">
        <x:v>confirmed</x:v>
      </x:c>
      <x:c r="F55" s="87" t="str">
        <x:v>public_web</x:v>
      </x:c>
      <x:c r="G55" s="87" t="str">
        <x:v>Issued</x:v>
      </x:c>
      <x:c r="H55" s="87" t="str">
        <x:v>approved</x:v>
      </x:c>
      <x:c r="I55" s="89" t="n">
        <x:v>100</x:v>
      </x:c>
      <x:c r="J55" s="90" t="str">
        <x:v>Selectel разместил новый выпуск облигаций и привлек 7 миллиардов рублей на развитие бизнеса Selectel сообщил об успешном закрытии книги заявок в рамках размещения выпуска облигаций серии 001P-07R по ставке купона 15,00% годовых сроком на три года. В ходе формирования книги заявок общий спрос инвесторов превысил первоначальный ориентир по объему выпуска, что позволило увеличить объем выпуска с 5 до 7 млрд рублей и снизить итоговую ставку купона до 15,00% годовых.</x:v>
      </x:c>
    </x:row>
    <x:row r="56">
      <x:c r="A56" s="87" t="str">
        <x:v>DL-251bf0d0b7b600c1</x:v>
      </x:c>
      <x:c r="B56" s="88" t="n">
        <x:v>45642</x:v>
      </x:c>
      <x:c r="C56" s="87" t="str">
        <x:v>Selectel Newsroom</x:v>
      </x:c>
      <x:c r="D56" s="95" t="str">
        <x:v>https://selectel.ru/about/newsroom/news/selectel-soobshchaet-o-priobretenii-oblachnogo-provajdera-servers-ru/</x:v>
      </x:c>
      <x:c r="E56" s="87" t="str">
        <x:v>confirmed</x:v>
      </x:c>
      <x:c r="F56" s="87" t="str">
        <x:v>public_web</x:v>
      </x:c>
      <x:c r="G56" s="87" t="str">
        <x:v>Confirmed</x:v>
      </x:c>
      <x:c r="H56" s="87" t="str">
        <x:v>approved</x:v>
      </x:c>
      <x:c r="I56" s="89" t="n">
        <x:v>85</x:v>
      </x:c>
      <x:c r="J56" s="90" t="str">
        <x:v>Selectel сообщает о приобретении облачного провайдера Servers.ru Selectel сообщает о приобретении 100% компании ООО «Единая сеть», работающей под брендами Servers.ru, Exepto.ru и Fozzy.ru. Сделка позволит ускорить рост бизнеса и усилить лидерские позиции Selectel на рынке облачных инфраструктурных сервисов.</x:v>
      </x:c>
    </x:row>
    <x:row r="57">
      <x:c r="A57" s="87" t="str">
        <x:v>DL-aa5a93661389a659</x:v>
      </x:c>
      <x:c r="B57" s="88" t="n">
        <x:v>45611</x:v>
      </x:c>
      <x:c r="C57" s="87" t="str">
        <x:v>Selectel Newsroom</x:v>
      </x:c>
      <x:c r="D57" s="95" t="str">
        <x:v>https://selectel.ru/about/newsroom/news/selectel-planiruet-razmeshhenie-obligaczij-obemom-3-milliarda-rublej-2/</x:v>
      </x:c>
      <x:c r="E57" s="87" t="str">
        <x:v>confirmed</x:v>
      </x:c>
      <x:c r="F57" s="87" t="str">
        <x:v>public_web</x:v>
      </x:c>
      <x:c r="G57" s="87" t="str">
        <x:v>Announced</x:v>
      </x:c>
      <x:c r="H57" s="87" t="str">
        <x:v>approved</x:v>
      </x:c>
      <x:c r="I57" s="89" t="n">
        <x:v>100</x:v>
      </x:c>
      <x:c r="J57" s="90" t="str">
        <x:v>Selectel планирует размещение облигаций объемом 3 миллиарда рублей Компания Selectel планирует разместить новый выпуск облигаций объемом 3 млрд рублей для целей финансирования инвестиционной программы. Тип купона — переменный и определяется исходя из ключевой ставки Банка России плюс премия не выше 400 базисных пунктов. Срок обращения — 2,5 года с ежемесячной выплатой купона. Сбор заявок планируется провести в конце ноября.</x:v>
      </x:c>
    </x:row>
    <x:row r="58">
      <x:c r="A58" s="87" t="str">
        <x:v>DL-c898acc93d60813b</x:v>
      </x:c>
      <x:c r="B58" s="88" t="n">
        <x:v>45391</x:v>
      </x:c>
      <x:c r="C58" s="87" t="str">
        <x:v>Selectel Newsroom</x:v>
      </x:c>
      <x:c r="D58" s="95" t="str">
        <x:v>https://selectel.ru/about/newsroom/news/selectel-na-fone-povyshennogo-sprosa-na-obligaczii-chetvertogo-vypuska-uvelichil-obem-razmeshheniya-do-4-mlrd-rublej/</x:v>
      </x:c>
      <x:c r="E58" s="87" t="str">
        <x:v>confirmed</x:v>
      </x:c>
      <x:c r="F58" s="87" t="str">
        <x:v>public_web</x:v>
      </x:c>
      <x:c r="G58" s="87" t="str">
        <x:v>Confirmed</x:v>
      </x:c>
      <x:c r="H58" s="87" t="str">
        <x:v>approved</x:v>
      </x:c>
      <x:c r="I58" s="89" t="n">
        <x:v>100</x:v>
      </x:c>
      <x:c r="J58" s="90" t="str">
        <x:v>Selectel на фоне повышенного спроса на облигации четвертого выпуска увеличил объем размещения до 4 млрд рублей Компания Selectel сообщила об успешном закрытии книги заявок в рамках размещения четвертого выпуска облигаций. Объем выпуска составил 4 млрд рублей, ставка купона установлена на уровне 15% годовых с ежемесячной выплатой, срок обращения 2 года.</x:v>
      </x:c>
    </x:row>
    <x:row r="59">
      <x:c r="A59" s="87" t="str">
        <x:v>DL-3b4a4419ab6b81bf</x:v>
      </x:c>
      <x:c r="B59" s="88" t="n">
        <x:v>45357</x:v>
      </x:c>
      <x:c r="C59" s="87" t="str">
        <x:v>Selectel Newsroom</x:v>
      </x:c>
      <x:c r="D59" s="95" t="str">
        <x:v>https://selectel.ru/about/newsroom/news/selectel-planiruet-razmeshhenie-obligaczij-obemom-3-milliarda-rublej/</x:v>
      </x:c>
      <x:c r="E59" s="87" t="str">
        <x:v>confirmed</x:v>
      </x:c>
      <x:c r="F59" s="87" t="str">
        <x:v>public_web</x:v>
      </x:c>
      <x:c r="G59" s="87" t="str">
        <x:v>Announced</x:v>
      </x:c>
      <x:c r="H59" s="87" t="str">
        <x:v>approved</x:v>
      </x:c>
      <x:c r="I59" s="89" t="n">
        <x:v>100</x:v>
      </x:c>
      <x:c r="J59" s="90" t="str">
        <x:v>Selectel планирует размещение облигаций объемом 3 миллиарда рублей Selectel планирует разместить выпуск облигаций объемом 3 млрд рублей с фиксированной ставкой купона и сроком обращения 2 года. Ориентир доходности — премия не выше 275 базисных пунктов к значению кривой бескупонной доходности (КБД) Московской биржи на сроке 2 года. Купонные выплаты будут осуществляться ежемесячно. Сбор заявок планируется провести в первой декаде апреля.</x:v>
      </x:c>
    </x:row>
    <x:row r="60">
      <x:c r="A60" s="148" t="str">
        <x:v>DL-0242cf80b3f97c9c</x:v>
      </x:c>
      <x:c r="B60" s="150" t="n">
        <x:v>45288</x:v>
      </x:c>
      <x:c r="C60" s="148" t="str">
        <x:v>Selectel Newsroom</x:v>
      </x:c>
      <x:c r="D60" s="156" t="str">
        <x:v>https://selectel.ru/about/newsroom/news/investicionnyj-fond-tier-5-priobrel-25-provajdera-it-infrastruktury-selectel/</x:v>
      </x:c>
      <x:c r="E60" s="148" t="str">
        <x:v>confirmed</x:v>
      </x:c>
      <x:c r="F60" s="148" t="str">
        <x:v>public_web</x:v>
      </x:c>
      <x:c r="G60" s="148" t="str">
        <x:v>Confirmed</x:v>
      </x:c>
      <x:c r="H60" s="148" t="str">
        <x:v>review</x:v>
      </x:c>
      <x:c r="I60" s="152" t="n">
        <x:v>40</x:v>
      </x:c>
      <x:c r="J60" s="158" t="str">
        <x:v>Инвестиционный фонд Tier 5 приобрел 25% провайдера IT-инфраструктуры Selectel Инвестиционный фонд Tier 5, основанный Геворком Вермишяном, ранее возглавлявшим «МегаФон», приобрел 25% провайдера IT-инфраструктуры Selectel, который входит в топ-3 российских IaaS-компаний по выручке. Детали сделки стороны не раскрывают.</x:v>
      </x:c>
    </x:row>
    <x:row r="62" ht="22" customHeight="1">
      <x:c r="A62"/>
      <x:c r="B62"/>
      <x:c r="C62"/>
      <x:c r="D62"/>
      <x:c r="E62"/>
      <x:c r="F62"/>
      <x:c r="G62"/>
      <x:c r="H62"/>
    </x:row>
    <x:row r="63" ht="22" customHeight="1">
      <x:c r="A63" s="176" t="str">
        <x:v>DATABASE CHECKS</x:v>
      </x:c>
      <x:c r="B63" s="176"/>
      <x:c r="C63" s="176"/>
      <x:c r="D63" s="176"/>
      <x:c r="E63" s="176"/>
      <x:c r="F63" s="176"/>
      <x:c r="G63" s="176"/>
      <x:c r="H63" s="176"/>
    </x:row>
    <x:row r="64">
      <x:c r="A64"/>
      <x:c r="B64"/>
      <x:c r="C64"/>
      <x:c r="D64"/>
      <x:c r="E64"/>
      <x:c r="F64"/>
      <x:c r="G64"/>
      <x:c r="H64"/>
    </x:row>
    <x:row r="65">
      <x:c r="A65" s="173" t="str">
        <x:v>Check</x:v>
      </x:c>
      <x:c r="B65" s="173" t="str">
        <x:v>Actual</x:v>
      </x:c>
      <x:c r="C65" s="173" t="str">
        <x:v>Expected</x:v>
      </x:c>
      <x:c r="D65" s="173" t="str">
        <x:v>Difference</x:v>
      </x:c>
      <x:c r="E65" s="173" t="str">
        <x:v>Tolerance</x:v>
      </x:c>
      <x:c r="F65" s="173" t="str">
        <x:v>Status</x:v>
      </x:c>
      <x:c r="G65" s="173" t="str">
        <x:v>Scope</x:v>
      </x:c>
      <x:c r="H65" s="173" t="str">
        <x:v>Notes</x:v>
      </x:c>
    </x:row>
    <x:row r="66">
      <x:c r="A66" s="159" t="str">
        <x:v>Duplicate deal IDs</x:v>
      </x:c>
      <x:c r="B66" s="159" t="n">
        <x:f>COUNTA('Precedent Transactions'!$A$7:$A$49)-COUNTA(UNIQUE('Precedent Transactions'!$A$7:$A$49))</x:f>
        <x:v>0</x:v>
      </x:c>
      <x:c r="C66" s="159" t="n">
        <x:v>0</x:v>
      </x:c>
      <x:c r="D66" s="159" t="n">
        <x:f>B66-C66</x:f>
        <x:v>0</x:v>
      </x:c>
      <x:c r="E66" s="159" t="n">
        <x:v>0</x:v>
      </x:c>
      <x:c r="F66" s="159" t="str">
        <x:f>IF(ABS(D66)&lt;=E66,"OK","REVIEW")</x:f>
        <x:v>OK</x:v>
      </x:c>
      <x:c r="G66" s="159" t="str">
        <x:v>All records</x:v>
      </x:c>
      <x:c r="H66" s="159" t="str">
        <x:v>Each deal ID must be unique</x:v>
      </x:c>
    </x:row>
    <x:row r="67">
      <x:c r="A67" s="160" t="str">
        <x:v>Missing primary URLs</x:v>
      </x:c>
      <x:c r="B67" s="160" t="n">
        <x:f>COUNTBLANK('Precedent Transactions'!$AE$7:$AE$49)</x:f>
        <x:v>0</x:v>
      </x:c>
      <x:c r="C67" s="160" t="n">
        <x:v>0</x:v>
      </x:c>
      <x:c r="D67" s="160" t="n">
        <x:f>B67-C67</x:f>
        <x:v>0</x:v>
      </x:c>
      <x:c r="E67" s="160" t="n">
        <x:v>0</x:v>
      </x:c>
      <x:c r="F67" s="160" t="str">
        <x:f>IF(ABS(D67)&lt;=E67,"OK","REVIEW")</x:f>
        <x:v>OK</x:v>
      </x:c>
      <x:c r="G67" s="160" t="str">
        <x:v>All records</x:v>
      </x:c>
      <x:c r="H67" s="160" t="str">
        <x:v>Primary URL required</x:v>
      </x:c>
    </x:row>
    <x:row r="68">
      <x:c r="A68" s="160" t="str">
        <x:v>Missing announced dates</x:v>
      </x:c>
      <x:c r="B68" s="160" t="n">
        <x:f>COUNTBLANK('Precedent Transactions'!$B$7:$B$49)</x:f>
        <x:v>0</x:v>
      </x:c>
      <x:c r="C68" s="160" t="n">
        <x:v>0</x:v>
      </x:c>
      <x:c r="D68" s="160" t="n">
        <x:f>B68-C68</x:f>
        <x:v>0</x:v>
      </x:c>
      <x:c r="E68" s="160" t="n">
        <x:v>0</x:v>
      </x:c>
      <x:c r="F68" s="160" t="str">
        <x:f>IF(ABS(D68)&lt;=E68,"OK","REVIEW")</x:f>
        <x:v>OK</x:v>
      </x:c>
      <x:c r="G68" s="160" t="str">
        <x:v>All records</x:v>
      </x:c>
      <x:c r="H68" s="160" t="str">
        <x:v>Date required</x:v>
      </x:c>
    </x:row>
    <x:row r="69">
      <x:c r="A69" s="160" t="str">
        <x:v>Approved but unverified</x:v>
      </x:c>
      <x:c r="B69" s="160" t="n">
        <x:f>COUNTIFS('Precedent Transactions'!$E$7:$E$49,"approved",'Precedent Transactions'!$AA$7:$AA$49,"&lt;&gt;confirmed")</x:f>
        <x:v>0</x:v>
      </x:c>
      <x:c r="C69" s="160" t="n">
        <x:v>0</x:v>
      </x:c>
      <x:c r="D69" s="160" t="n">
        <x:f>B69-C69</x:f>
        <x:v>0</x:v>
      </x:c>
      <x:c r="E69" s="160" t="n">
        <x:v>0</x:v>
      </x:c>
      <x:c r="F69" s="160" t="str">
        <x:f>IF(ABS(D69)&lt;=E69,"OK","REVIEW")</x:f>
        <x:v>OK</x:v>
      </x:c>
      <x:c r="G69" s="160" t="str">
        <x:v>Approved</x:v>
      </x:c>
      <x:c r="H69" s="160" t="str">
        <x:v>Must be confirmed</x:v>
      </x:c>
    </x:row>
    <x:row r="70">
      <x:c r="A70" s="160" t="str">
        <x:v>Active price-target contamination</x:v>
      </x:c>
      <x:c r="B70" s="160" t="n">
        <x:f>COUNTIFS('Precedent Transactions'!$E$7:$E$49,"&lt;&gt;rejected",'Precedent Transactions'!$G$7:$G$49,"*price_target_context*")</x:f>
        <x:v>0</x:v>
      </x:c>
      <x:c r="C70" s="160" t="n">
        <x:v>0</x:v>
      </x:c>
      <x:c r="D70" s="160" t="n">
        <x:f>B70-C70</x:f>
        <x:v>0</x:v>
      </x:c>
      <x:c r="E70" s="160" t="n">
        <x:v>0</x:v>
      </x:c>
      <x:c r="F70" s="160" t="str">
        <x:f>IF(ABS(D70)&lt;=E70,"OK","REVIEW")</x:f>
        <x:v>OK</x:v>
      </x:c>
      <x:c r="G70" s="160" t="str">
        <x:v>Top-eligible</x:v>
      </x:c>
      <x:c r="H70" s="160" t="str">
        <x:v>Must be quarantined</x:v>
      </x:c>
    </x:row>
    <x:row r="71">
      <x:c r="A71" s="160" t="str">
        <x:v>Rejected rows quarantined</x:v>
      </x:c>
      <x:c r="B71" s="160" t="n">
        <x:f>COUNTIF('Precedent Transactions'!$E$7:$E$49,"rejected")</x:f>
        <x:v>16</x:v>
      </x:c>
      <x:c r="C71" s="160" t="str">
        <x:v>&gt;=0</x:v>
      </x:c>
      <x:c r="D71" s="160" t="n">
        <x:v>0</x:v>
      </x:c>
      <x:c r="E71" s="160" t="n">
        <x:v>0</x:v>
      </x:c>
      <x:c r="F71" s="160" t="str">
        <x:v>OK</x:v>
      </x:c>
      <x:c r="G71" s="160" t="str">
        <x:v>Audit only</x:v>
      </x:c>
      <x:c r="H71" s="160" t="str">
        <x:v>Rejected rows intentionally remain for traceability</x:v>
      </x:c>
    </x:row>
    <x:row r="72">
      <x:c r="A72" s="161" t="str">
        <x:v>Multi-source transactions</x:v>
      </x:c>
      <x:c r="B72" s="161" t="n">
        <x:f>COUNTIF('Precedent Transactions'!$AC$7:$AC$49,"&gt;1")</x:f>
        <x:v>4</x:v>
      </x:c>
      <x:c r="C72" s="161" t="str">
        <x:v>&gt;=0</x:v>
      </x:c>
      <x:c r="D72" s="161" t="n">
        <x:v>0</x:v>
      </x:c>
      <x:c r="E72" s="161" t="n">
        <x:v>0</x:v>
      </x:c>
      <x:c r="F72" s="161" t="str">
        <x:v>OK</x:v>
      </x:c>
      <x:c r="G72" s="161" t="str">
        <x:v>All records</x:v>
      </x:c>
      <x:c r="H72" s="161" t="str">
        <x:v>Corroboration coverage</x:v>
      </x:c>
    </x:row>
    <x:row r="73">
      <x:c r="A73"/>
      <x:c r="B73"/>
      <x:c r="C73"/>
      <x:c r="D73"/>
      <x:c r="E73"/>
      <x:c r="F73"/>
    </x:row>
    <x:row r="74">
      <x:c r="A74" s="188" t="str">
        <x:v>Overall model status</x:v>
      </x:c>
      <x:c r="B74" s="188"/>
      <x:c r="C74" s="188"/>
      <x:c r="D74" s="188"/>
      <x:c r="E74" s="188"/>
      <x:c r="F74" t="str">
        <x:f>IF(COUNTIF(F66:F72,"REVIEW")=0,"OK","REVIEW")</x:f>
        <x:v>OK</x:v>
      </x:c>
    </x:row>
  </x:sheetData>
  <x:mergeCells>
    <x:mergeCell ref="A1:J1"/>
    <x:mergeCell ref="A2:J2"/>
    <x:mergeCell ref="A4:J4"/>
    <x:mergeCell ref="A63:H63"/>
    <x:mergeCell ref="A74:E74"/>
  </x:mergeCells>
  <x:conditionalFormatting sqref="F23:F31">
    <x:cfRule type="containsText" dxfId="0" priority="1" operator="containsText" text="OK"/>
    <x:cfRule type="containsText" dxfId="1" priority="2" operator="containsText" text="REVIEW"/>
  </x:conditionalFormatting>
  <x:conditionalFormatting sqref="H7:H59">
    <x:cfRule type="containsText" dxfId="11" priority="3" operator="containsText" text="approved"/>
    <x:cfRule type="containsText" dxfId="12" priority="4" operator="containsText" text="review"/>
    <x:cfRule type="containsText" dxfId="13" priority="5" operator="containsText" text="rejected"/>
  </x:conditionalFormatting>
  <x:conditionalFormatting sqref="F65:F71">
    <x:cfRule type="containsText" dxfId="14" priority="6" operator="containsText" text="OK"/>
    <x:cfRule type="containsText" dxfId="15" priority="7" operator="containsText" text="REVIEW"/>
  </x:conditionalFormatting>
  <x:conditionalFormatting sqref="F73:F73">
    <x:cfRule type="containsText" dxfId="16" priority="8" operator="containsText" text="OK"/>
    <x:cfRule type="containsText" dxfId="17" priority="9" operator="containsText" text="REVIEW"/>
  </x:conditionalFormatting>
  <x:conditionalFormatting sqref="H7:H60">
    <x:cfRule type="containsText" dxfId="27" priority="10" operator="containsText" text="approved"/>
    <x:cfRule type="containsText" dxfId="28" priority="11" operator="containsText" text="review"/>
    <x:cfRule type="containsText" dxfId="29" priority="12" operator="containsText" text="rejected"/>
  </x:conditionalFormatting>
  <x:conditionalFormatting sqref="F66:F72">
    <x:cfRule type="containsText" dxfId="30" priority="13" operator="containsText" text="OK"/>
    <x:cfRule type="containsText" dxfId="31" priority="14" operator="containsText" text="REVIEW"/>
  </x:conditionalFormatting>
  <x:conditionalFormatting sqref="F74:F74">
    <x:cfRule type="containsText" dxfId="32" priority="15" operator="containsText" text="OK"/>
    <x:cfRule type="containsText" dxfId="33" priority="16" operator="containsText" text="REVIEW"/>
  </x:conditionalFormatting>
  <x:pageMargins left="0.7" right="0.7" top="0.75" bottom="0.75" header="0.3" footer="0.3"/>
  <x:tableParts count="1">
    <x:tablePart xmlns:r="http://schemas.openxmlformats.org/officeDocument/2006/relationships" r:id="R8b6f14f91f0946b1"/>
  </x:tableParts>
</x:worksheet>
</file>