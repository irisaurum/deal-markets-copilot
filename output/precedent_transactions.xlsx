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0c0b5e5ab54a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7b0219a125a444b"/>
    <x:sheet xmlns:r="http://schemas.openxmlformats.org/officeDocument/2006/relationships" name="Deals" sheetId="2" r:id="R9ed408078af14d5e"/>
    <x:sheet xmlns:r="http://schemas.openxmlformats.org/officeDocument/2006/relationships" name="Financials" sheetId="3" r:id="R3b6d4744bed74629"/>
    <x:sheet xmlns:r="http://schemas.openxmlformats.org/officeDocument/2006/relationships" name="Multiples" sheetId="4" r:id="R65c57f2d1ecb459a"/>
    <x:sheet xmlns:r="http://schemas.openxmlformats.org/officeDocument/2006/relationships" name="Sources &amp; QA" sheetId="5" r:id="R45e6c85a3f424b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"/>
    <x:numFmt numFmtId="201" formatCode="dd-mmm-yyyy"/>
    <x:numFmt numFmtId="202" formatCode="#,##0;[Red](#,##0);-"/>
    <x:numFmt numFmtId="203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3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0" fontId="9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626747a41c4763" /><Relationship Type="http://schemas.openxmlformats.org/officeDocument/2006/relationships/theme" Target="/xl/theme/theme1.xml" Id="R23adee51d2ff48e5" /><Relationship Type="http://schemas.openxmlformats.org/officeDocument/2006/relationships/sharedStrings" Target="/xl/sharedStrings.xml" Id="R3d186ee1e06a4185" /><Relationship Type="http://schemas.openxmlformats.org/officeDocument/2006/relationships/worksheet" Target="/xl/worksheets/sheet1.xml" Id="R97b0219a125a444b" /><Relationship Type="http://schemas.openxmlformats.org/officeDocument/2006/relationships/worksheet" Target="/xl/worksheets/sheet2.xml" Id="R9ed408078af14d5e" /><Relationship Type="http://schemas.openxmlformats.org/officeDocument/2006/relationships/worksheet" Target="/xl/worksheets/sheet3.xml" Id="R3b6d4744bed74629" /><Relationship Type="http://schemas.openxmlformats.org/officeDocument/2006/relationships/worksheet" Target="/xl/worksheets/sheet4.xml" Id="R65c57f2d1ecb459a" /><Relationship Type="http://schemas.openxmlformats.org/officeDocument/2006/relationships/worksheet" Target="/xl/worksheets/sheet5.xml" Id="R45e6c85a3f424b74" /></Relationships>
</file>

<file path=xl/tables/table1.xml><?xml version="1.0" encoding="utf-8"?>
<x:table xmlns:x="http://schemas.openxmlformats.org/spreadsheetml/2006/main" id="1" name="DealsTable" displayName="DealsTable" ref="A6:AT88" headerRowCount="1" totalsRowCount="0" totalsRowShown="0">
  <x:tableColumns count="46">
    <x:tableColumn id="1" name="Deal ID"/>
    <x:tableColumn id="2" name="Announced Date"/>
    <x:tableColumn id="3" name="Type"/>
    <x:tableColumn id="4" name="Record Kind"/>
    <x:tableColumn id="5" name="Status"/>
    <x:tableColumn id="6" name="Target / Issuer"/>
    <x:tableColumn id="7" name="Buyer / Investor"/>
    <x:tableColumn id="8" name="Seller"/>
    <x:tableColumn id="9" name="Sector"/>
    <x:tableColumn id="10" name="Geography"/>
    <x:tableColumn id="11" name="Transaction Value"/>
    <x:tableColumn id="12" name="Enterprise Value"/>
    <x:tableColumn id="13" name="Currency"/>
    <x:tableColumn id="14" name="Stake %"/>
    <x:tableColumn id="15" name="Payment Form"/>
    <x:tableColumn id="16" name="Advisors"/>
    <x:tableColumn id="17" name="Instrument"/>
    <x:tableColumn id="18" name="Security Code"/>
    <x:tableColumn id="19" name="ISIN"/>
    <x:tableColumn id="20" name="Coupon %"/>
    <x:tableColumn id="21" name="Coupon Type"/>
    <x:tableColumn id="22" name="Yield %"/>
    <x:tableColumn id="23" name="Maturity"/>
    <x:tableColumn id="24" name="Tenor"/>
    <x:tableColumn id="25" name="Issue Price"/>
    <x:tableColumn id="26" name="Price / Share"/>
    <x:tableColumn id="27" name="Discount %"/>
    <x:tableColumn id="28" name="Bookrunners"/>
    <x:tableColumn id="29" name="Free Float %"/>
    <x:tableColumn id="30" name="Rationale"/>
    <x:tableColumn id="31" name="Revenue LTM"/>
    <x:tableColumn id="32" name="EBITDA LTM"/>
    <x:tableColumn id="33" name="Financials As Of"/>
    <x:tableColumn id="34" name="Financials Currency"/>
    <x:tableColumn id="35" name="EV / Revenue"/>
    <x:tableColumn id="36" name="EV / EBITDA"/>
    <x:tableColumn id="37" name="Financial Source"/>
    <x:tableColumn id="38" name="Metric Basis"/>
    <x:tableColumn id="39" name="Multiple Notes"/>
    <x:tableColumn id="40" name="Quality"/>
    <x:tableColumn id="41" name="Quality Score"/>
    <x:tableColumn id="42" name="Evidence"/>
    <x:tableColumn id="43" name="Source Count"/>
    <x:tableColumn id="44" name="Primary Source"/>
    <x:tableColumn id="45" name="Primary URL"/>
    <x:tableColumn id="46" name="Headli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ncialsTable" displayName="FinancialsTable" ref="A6:N16" headerRowCount="1" totalsRowCount="0" totalsRowShown="0">
  <x:tableColumns count="14">
    <x:tableColumn id="1" name="Deal ID"/>
    <x:tableColumn id="2" name="Target"/>
    <x:tableColumn id="3" name="Deal Date"/>
    <x:tableColumn id="4" name="Financials As Of"/>
    <x:tableColumn id="5" name="Available At"/>
    <x:tableColumn id="6" name="Currency"/>
    <x:tableColumn id="7" name="Revenue LTM"/>
    <x:tableColumn id="8" name="Operating Income"/>
    <x:tableColumn id="9" name="Depreciation"/>
    <x:tableColumn id="10" name="Amortization"/>
    <x:tableColumn id="11" name="EBITDA LTM"/>
    <x:tableColumn id="12" name="Metric Basis"/>
    <x:tableColumn id="13" name="Source"/>
    <x:tableColumn id="14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ultiplesTable" displayName="MultiplesTable" ref="A6:O33" headerRowCount="1" totalsRowCount="0" totalsRowShown="0">
  <x:tableColumns count="15">
    <x:tableColumn id="1" name="Deal ID"/>
    <x:tableColumn id="2" name="Date"/>
    <x:tableColumn id="3" name="Target"/>
    <x:tableColumn id="4" name="Enterprise Value"/>
    <x:tableColumn id="5" name="EV Currency"/>
    <x:tableColumn id="6" name="Revenue LTM"/>
    <x:tableColumn id="7" name="EBITDA LTM"/>
    <x:tableColumn id="8" name="Financials Currency"/>
    <x:tableColumn id="9" name="Quality"/>
    <x:tableColumn id="10" name="Available at announcement"/>
    <x:tableColumn id="11" name="EV / Revenue"/>
    <x:tableColumn id="12" name="EV / EBITDA"/>
    <x:tableColumn id="13" name="Model Eligible"/>
    <x:tableColumn id="14" name="Financial Source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I150" headerRowCount="1" totalsRowCount="0" totalsRowShown="0">
  <x:tableColumns count="9">
    <x:tableColumn id="1" name="Deal ID"/>
    <x:tableColumn id="2" name="Deal Date"/>
    <x:tableColumn id="3" name="Target / Issuer"/>
    <x:tableColumn id="4" name="Source"/>
    <x:tableColumn id="5" name="Type"/>
    <x:tableColumn id="6" name="Evidence"/>
    <x:tableColumn id="7" name="URL"/>
    <x:tableColumn id="8" name="Published"/>
    <x:tableColumn id="9" name="Head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dde3ee5aef4c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ef9db32543f4c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01b143ef0d402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8fd8947f0144f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24" hidden="0" customWidth="1"/>
    <x:col min="5" max="5" width="24" hidden="0" customWidth="1"/>
    <x:col min="6" max="6" width="18" hidden="0" customWidth="1"/>
    <x:col min="7" max="7" width="10" hidden="0" customWidth="1"/>
    <x:col min="8" max="8" width="12" hidden="0" customWidth="1"/>
    <x:col min="9" max="9" width="10" hidden="0" customWidth="1"/>
    <x:col min="10" max="10" width="48" hidden="0" customWidth="1"/>
  </x:cols>
  <x:sheetData>
    <x:row r="1" ht="34" customHeight="1">
      <x:c r="A1" s="3" t="str">
        <x:v>DEAL MARKETS COPILOT — SUMMARY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6" t="str">
        <x:v>Quality-controlled transaction monitor | As of 2026-07-02 | Build a4432f860b74 | N/M means insufficient or non-comparable disclosure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3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7" t="str">
        <x:v>Total records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Approved</x:v>
      </x:c>
      <x:c r="F6" s="18" t="str">
        <x:v>Review</x:v>
      </x:c>
      <x:c r="G6" s="18" t="str">
        <x:v>Financials</x:v>
      </x:c>
      <x:c r="H6" s="18" t="str">
        <x:v>EV/Revenue coverage</x:v>
      </x:c>
      <x:c r="I6" s="18" t="str">
        <x:v>EV/EBITDA coverage</x:v>
      </x:c>
      <x:c r="J6" s="19" t="str">
        <x:v>Model status</x:v>
      </x:c>
    </x:row>
    <x:row r="7" ht="32" customHeight="1">
      <x:c r="A7" s="25" t="n">
        <x:f>COUNTA('Deals'!$A$7:$A$506)</x:f>
        <x:v>82</x:v>
      </x:c>
      <x:c r="B7" s="26" t="n">
        <x:f>COUNTIF('Deals'!$C$7:$C$506,"M&amp;A")</x:f>
        <x:v>27</x:v>
      </x:c>
      <x:c r="C7" s="26" t="n">
        <x:f>COUNTIF('Deals'!$C$7:$C$506,"ECM")</x:f>
        <x:v>8</x:v>
      </x:c>
      <x:c r="D7" s="26" t="n">
        <x:f>COUNTIF('Deals'!$C$7:$C$506,"DCM")</x:f>
        <x:v>47</x:v>
      </x:c>
      <x:c r="E7" s="26" t="n">
        <x:f>COUNTIF('Deals'!$AN$7:$AN$506,"approved")</x:f>
        <x:v>16</x:v>
      </x:c>
      <x:c r="F7" s="26" t="n">
        <x:f>COUNTIF('Deals'!$AN$7:$AN$506,"review")</x:f>
        <x:v>45</x:v>
      </x:c>
      <x:c r="G7" s="26" t="n">
        <x:f>COUNTA('Financials'!$A$7:$A$506)</x:f>
        <x:v>10</x:v>
      </x:c>
      <x:c r="H7" s="26" t="n">
        <x:f>COUNTIFS('Multiples'!$M$7:$M$506,"YES",'Multiples'!$K$7:$K$506,"&gt;0")</x:f>
        <x:v>6</x:v>
      </x:c>
      <x:c r="I7" s="26" t="n">
        <x:f>COUNTIFS('Multiples'!$M$7:$M$506,"YES",'Multiples'!$L$7:$L$506,"&gt;0")</x:f>
        <x:v>2</x:v>
      </x:c>
      <x:c r="J7" s="27" t="str">
        <x:f>'Sources &amp; QA'!$P$19</x:f>
        <x:v>OK</x:v>
      </x:c>
    </x:row>
    <x:row r="10" ht="23" customHeight="1">
      <x:c r="A10" s="9" t="str">
        <x:v>PRECEDENT VALUATION — APPROVED M&amp;A ONLY</x:v>
      </x:c>
      <x:c r="B10" s="9"/>
      <x:c r="C10" s="9"/>
      <x:c r="D10" s="9"/>
      <x:c r="E10" s="9"/>
      <x:c r="F10" s="9"/>
      <x:c r="G10" s="9"/>
      <x:c r="H10" s="9"/>
      <x:c r="I10" s="9"/>
      <x:c r="J10" s="9"/>
    </x:row>
    <x:row r="12" ht="34" customHeight="1">
      <x:c r="A12" s="17" t="str">
        <x:v>Median EV / Revenue</x:v>
      </x:c>
      <x:c r="B12" s="18" t="str">
        <x:v>Median EV / EBITDA</x:v>
      </x:c>
      <x:c r="C12" s="18" t="str">
        <x:v>EV / Revenue observations</x:v>
      </x:c>
      <x:c r="D12" s="19" t="str">
        <x:v>EV / EBITDA observations</x:v>
      </x:c>
    </x:row>
    <x:row r="13" ht="32" customHeight="1">
      <x:c r="A13" s="31" t="n">
        <x:f>IFERROR(MEDIAN(_xlfn._xlws.FILTER('Multiples'!$K$7:$K$506,('Multiples'!$M$7:$M$506="YES")*('Multiples'!$K$7:$K$506&gt;0))),"N/M")</x:f>
        <x:v>10.20093522208724</x:v>
      </x:c>
      <x:c r="B13" s="31" t="n">
        <x:f>IFERROR(MEDIAN(_xlfn._xlws.FILTER('Multiples'!$L$7:$L$506,('Multiples'!$M$7:$M$506="YES")*('Multiples'!$L$7:$L$506&gt;0))),"N/M")</x:f>
        <x:v>63.110968500520016</x:v>
      </x:c>
      <x:c r="C13" s="30" t="n">
        <x:f>COUNTIFS('Multiples'!$M$7:$M$506,"YES",'Multiples'!$K$7:$K$506,"&gt;0")</x:f>
        <x:v>6</x:v>
      </x:c>
      <x:c r="D13" s="30" t="n">
        <x:f>COUNTIFS('Multiples'!$M$7:$M$506,"YES",'Multiples'!$L$7:$L$506,"&gt;0")</x:f>
        <x:v>2</x:v>
      </x:c>
    </x:row>
    <x:row r="16" ht="23" customHeight="1">
      <x:c r="A16" s="9" t="str">
        <x:v>LATEST KEY TRANSACTIONS</x:v>
      </x:c>
      <x:c r="B16" s="9"/>
      <x:c r="C16" s="9"/>
      <x:c r="D16" s="9"/>
      <x:c r="E16" s="9"/>
      <x:c r="F16" s="9"/>
      <x:c r="G16" s="9"/>
      <x:c r="H16" s="9"/>
      <x:c r="I16" s="9"/>
      <x:c r="J16" s="9"/>
    </x:row>
    <x:row r="18" ht="34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Buyer / Investor</x:v>
      </x:c>
      <x:c r="F18" s="18" t="str">
        <x:v>Value</x:v>
      </x:c>
      <x:c r="G18" s="18" t="str">
        <x:v>Currency</x:v>
      </x:c>
      <x:c r="H18" s="18" t="str">
        <x:v>Quality</x:v>
      </x:c>
      <x:c r="I18" s="18" t="str">
        <x:v>Sources</x:v>
      </x:c>
      <x:c r="J18" s="19" t="str">
        <x:v>Headline</x:v>
      </x:c>
    </x:row>
    <x:row r="19" ht="30" customHeight="1">
      <x:c r="A19" s="37" t="n">
        <x:v>46201</x:v>
      </x:c>
      <x:c r="B19" s="38" t="str">
        <x:v>DCM</x:v>
      </x:c>
      <x:c r="C19" s="38" t="str">
        <x:v>Closed</x:v>
      </x:c>
      <x:c r="D19" s="38" t="str">
        <x:v>MTSS</x:v>
      </x:c>
      <x:c r="E19" s="38" t="str">
        <x:v>Not applicable</x:v>
      </x:c>
      <x:c r="F19" s="39" t="n">
        <x:v>20000000000</x:v>
      </x:c>
      <x:c r="G19" s="38" t="str">
        <x:v>RUB</x:v>
      </x:c>
      <x:c r="H19" s="38" t="str">
        <x:v>approved</x:v>
      </x:c>
      <x:c r="I19" s="38" t="n">
        <x:v>1</x:v>
      </x:c>
      <x:c r="J19" s="38" t="str">
        <x:v>МТС успешно закрыла книгу биржевых облигаций 003Р-03 на 20 млрд руб.</x:v>
      </x:c>
    </x:row>
    <x:row r="20" ht="30" customHeight="1">
      <x:c r="A20" s="37" t="n">
        <x:v>46192</x:v>
      </x:c>
      <x:c r="B20" s="38" t="str">
        <x:v>DCM</x:v>
      </x:c>
      <x:c r="C20" s="38" t="str">
        <x:v>Issued</x:v>
      </x:c>
      <x:c r="D20" s="38" t="str">
        <x:v>Yandex</x:v>
      </x:c>
      <x:c r="E20" s="38" t="str">
        <x:v>Not applicable</x:v>
      </x:c>
      <x:c r="F20" s="39" t="n">
        <x:v>60000000000</x:v>
      </x:c>
      <x:c r="G20" s="38" t="str">
        <x:v>RUB</x:v>
      </x:c>
      <x:c r="H20" s="38" t="str">
        <x:v>approved</x:v>
      </x:c>
      <x:c r="I20" s="38" t="n">
        <x:v>1</x:v>
      </x:c>
      <x:c r="J20" s="38" t="str">
        <x:v>Яндекс разместил два выпуска биржевых облигаций на общую сумму 60 млрд рублей</x:v>
      </x:c>
    </x:row>
    <x:row r="21" ht="30" customHeight="1">
      <x:c r="A21" s="37" t="n">
        <x:v>46175</x:v>
      </x:c>
      <x:c r="B21" s="38" t="str">
        <x:v>M&amp;A</x:v>
      </x:c>
      <x:c r="C21" s="38" t="str">
        <x:v>Closed</x:v>
      </x:c>
      <x:c r="D21" s="38" t="str">
        <x:v>Авто.ру</x:v>
      </x:c>
      <x:c r="E21" s="38" t="str">
        <x:v>Not disclosed</x:v>
      </x:c>
      <x:c r="F21" s="39" t="n">
        <x:v>35000000000</x:v>
      </x:c>
      <x:c r="G21" s="38" t="str">
        <x:v>RUB</x:v>
      </x:c>
      <x:c r="H21" s="38" t="str">
        <x:v>review</x:v>
      </x:c>
      <x:c r="I21" s="38" t="n">
        <x:v>5</x:v>
      </x:c>
      <x:c r="J21" s="38" t="str">
        <x:v>Яндекс закрыл сделку по продаже Авто.ру</x:v>
      </x:c>
    </x:row>
    <x:row r="22" ht="30" customHeight="1">
      <x:c r="A22" s="37" t="n">
        <x:v>46080</x:v>
      </x:c>
      <x:c r="B22" s="38" t="str">
        <x:v>DCM</x:v>
      </x:c>
      <x:c r="C22" s="38" t="str">
        <x:v>Issued</x:v>
      </x:c>
      <x:c r="D22" s="38" t="str">
        <x:v>SELECTEL</x:v>
      </x:c>
      <x:c r="E22" s="38" t="str">
        <x:v>Not applicable</x:v>
      </x:c>
      <x:c r="F22" s="39" t="n">
        <x:v>7000000000</x:v>
      </x:c>
      <x:c r="G22" s="38" t="str">
        <x:v>RUB</x:v>
      </x:c>
      <x:c r="H22" s="38" t="str">
        <x:v>approved</x:v>
      </x:c>
      <x:c r="I22" s="38" t="n">
        <x:v>1</x:v>
      </x:c>
      <x:c r="J22" s="38" t="str">
        <x:v>Selectel разместил новый выпуск облигаций и привлек 7 миллиардов рублей на развитие бизнеса</x:v>
      </x:c>
    </x:row>
    <x:row r="23" ht="30" customHeight="1">
      <x:c r="A23" s="37" t="n">
        <x:v>45642</x:v>
      </x:c>
      <x:c r="B23" s="38" t="str">
        <x:v>M&amp;A</x:v>
      </x:c>
      <x:c r="C23" s="38" t="str">
        <x:v>Confirmed</x:v>
      </x:c>
      <x:c r="D23" s="38" t="str">
        <x:v>Not disclosed</x:v>
      </x:c>
      <x:c r="E23" s="38" t="str">
        <x:v>Not disclosed</x:v>
      </x:c>
      <x:c r="F23" s="39"/>
      <x:c r="G23" s="38" t="str">
        <x:v>Not disclosed</x:v>
      </x:c>
      <x:c r="H23" s="38" t="str">
        <x:v>review</x:v>
      </x:c>
      <x:c r="I23" s="38" t="n">
        <x:v>1</x:v>
      </x:c>
      <x:c r="J23" s="38" t="str">
        <x:v>Selectel сообщает о приобретении облачного провайдера Servers.ru</x:v>
      </x:c>
    </x:row>
    <x:row r="24" ht="30" customHeight="1">
      <x:c r="A24" s="37" t="n">
        <x:v>45611</x:v>
      </x:c>
      <x:c r="B24" s="38" t="str">
        <x:v>DCM</x:v>
      </x:c>
      <x:c r="C24" s="38" t="str">
        <x:v>Announced</x:v>
      </x:c>
      <x:c r="D24" s="38" t="str">
        <x:v>SELECTEL</x:v>
      </x:c>
      <x:c r="E24" s="38" t="str">
        <x:v>Not applicable</x:v>
      </x:c>
      <x:c r="F24" s="39" t="n">
        <x:v>3000000000</x:v>
      </x:c>
      <x:c r="G24" s="38" t="str">
        <x:v>RUB</x:v>
      </x:c>
      <x:c r="H24" s="38" t="str">
        <x:v>approved</x:v>
      </x:c>
      <x:c r="I24" s="38" t="n">
        <x:v>1</x:v>
      </x:c>
      <x:c r="J24" s="38" t="str">
        <x:v>Selectel планирует размещение облигаций объемом 3 миллиарда рублей</x:v>
      </x:c>
    </x:row>
    <x:row r="25" ht="30" customHeight="1">
      <x:c r="A25" s="37" t="n">
        <x:v>45391</x:v>
      </x:c>
      <x:c r="B25" s="38" t="str">
        <x:v>DCM</x:v>
      </x:c>
      <x:c r="C25" s="38" t="str">
        <x:v>Confirmed</x:v>
      </x:c>
      <x:c r="D25" s="38" t="str">
        <x:v>SELECTEL</x:v>
      </x:c>
      <x:c r="E25" s="38" t="str">
        <x:v>Not applicable</x:v>
      </x:c>
      <x:c r="F25" s="39" t="n">
        <x:v>4000000000</x:v>
      </x:c>
      <x:c r="G25" s="38" t="str">
        <x:v>RUB</x:v>
      </x:c>
      <x:c r="H25" s="38" t="str">
        <x:v>approved</x:v>
      </x:c>
      <x:c r="I25" s="38" t="n">
        <x:v>1</x:v>
      </x:c>
      <x:c r="J25" s="38" t="str">
        <x:v>Selectel на фоне повышенного спроса на облигации четвертого выпуска увеличил объем размещения до 4 млрд рублей</x:v>
      </x:c>
    </x:row>
    <x:row r="26" ht="30" customHeight="1">
      <x:c r="A26" s="37" t="n">
        <x:v>45357</x:v>
      </x:c>
      <x:c r="B26" s="38" t="str">
        <x:v>DCM</x:v>
      </x:c>
      <x:c r="C26" s="38" t="str">
        <x:v>Announced</x:v>
      </x:c>
      <x:c r="D26" s="38" t="str">
        <x:v>SELECTEL</x:v>
      </x:c>
      <x:c r="E26" s="38" t="str">
        <x:v>Not applicable</x:v>
      </x:c>
      <x:c r="F26" s="39" t="n">
        <x:v>3000000000</x:v>
      </x:c>
      <x:c r="G26" s="38" t="str">
        <x:v>RUB</x:v>
      </x:c>
      <x:c r="H26" s="38" t="str">
        <x:v>approved</x:v>
      </x:c>
      <x:c r="I26" s="38" t="n">
        <x:v>1</x:v>
      </x:c>
      <x:c r="J26" s="38" t="str">
        <x:v>Selectel планирует размещение облигаций объемом 3 миллиарда рублей</x:v>
      </x:c>
    </x:row>
    <x:row r="27" ht="30" customHeight="1">
      <x:c r="A27" s="37" t="n">
        <x:v>45288</x:v>
      </x:c>
      <x:c r="B27" s="38" t="str">
        <x:v>M&amp;A</x:v>
      </x:c>
      <x:c r="C27" s="38" t="str">
        <x:v>Confirmed</x:v>
      </x:c>
      <x:c r="D27" s="38" t="str">
        <x:v>25% провайдера IT-инфраструктуры Selectel</x:v>
      </x:c>
      <x:c r="E27" s="38" t="str">
        <x:v>Инвестиционный фонд Tier 5</x:v>
      </x:c>
      <x:c r="F27" s="39"/>
      <x:c r="G27" s="38" t="str">
        <x:v>Not disclosed</x:v>
      </x:c>
      <x:c r="H27" s="38" t="str">
        <x:v>review</x:v>
      </x:c>
      <x:c r="I27" s="38" t="n">
        <x:v>1</x:v>
      </x:c>
      <x:c r="J27" s="38" t="str">
        <x:v>Инвестиционный фонд Tier 5 приобрел 25% провайдера IT-инфраструктуры Selectel</x:v>
      </x:c>
    </x:row>
    <x:row r="28" ht="30" customHeight="1">
      <x:c r="A28" s="37" t="n">
        <x:v>45190</x:v>
      </x:c>
      <x:c r="B28" s="38" t="str">
        <x:v>M&amp;A</x:v>
      </x:c>
      <x:c r="C28" s="38" t="str">
        <x:v>Closed</x:v>
      </x:c>
      <x:c r="D28" s="38" t="str">
        <x:v>Splunk</x:v>
      </x:c>
      <x:c r="E28" s="38" t="str">
        <x:v>Cisco</x:v>
      </x:c>
      <x:c r="F28" s="39" t="n">
        <x:v>28000000000</x:v>
      </x:c>
      <x:c r="G28" s="38" t="str">
        <x:v>USD</x:v>
      </x:c>
      <x:c r="H28" s="38" t="str">
        <x:v>approved</x:v>
      </x:c>
      <x:c r="I28" s="38" t="n">
        <x:v>2</x:v>
      </x:c>
      <x:c r="J28" s="38" t="str">
        <x:v>Cisco acquired Splunk in an all-cash transaction</x:v>
      </x:c>
    </x:row>
  </x:sheetData>
  <x:mergeCells>
    <x:mergeCell ref="A1:J1"/>
    <x:mergeCell ref="A2:J2"/>
    <x:mergeCell ref="A4:J4"/>
    <x:mergeCell ref="A10:J10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9" hidden="0" customWidth="1"/>
    <x:col min="4" max="4" width="15" hidden="0" customWidth="1"/>
    <x:col min="5" max="5" width="13" hidden="0" customWidth="1"/>
    <x:col min="6" max="6" width="24" hidden="0" customWidth="1"/>
    <x:col min="7" max="7" width="24" hidden="0" customWidth="1"/>
    <x:col min="8" max="8" width="20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6" hidden="0" customWidth="1"/>
    <x:col min="16" max="16" width="28" hidden="0" customWidth="1"/>
    <x:col min="17" max="17" width="20" hidden="0" customWidth="1"/>
    <x:col min="18" max="18" width="22" hidden="0" customWidth="1"/>
    <x:col min="19" max="19" width="16" hidden="0" customWidth="1"/>
    <x:col min="20" max="20" width="11" hidden="0" customWidth="1"/>
    <x:col min="21" max="21" width="13" hidden="0" customWidth="1"/>
    <x:col min="22" max="22" width="11" hidden="0" customWidth="1"/>
    <x:col min="23" max="23" width="14" hidden="0" customWidth="1"/>
    <x:col min="24" max="24" width="14" hidden="0" customWidth="1"/>
    <x:col min="25" max="25" width="13" hidden="0" customWidth="1"/>
    <x:col min="26" max="26" width="13" hidden="0" customWidth="1"/>
    <x:col min="27" max="27" width="11" hidden="0" customWidth="1"/>
    <x:col min="28" max="28" width="25" hidden="0" customWidth="1"/>
    <x:col min="29" max="29" width="11" hidden="0" customWidth="1"/>
    <x:col min="30" max="30" width="34" hidden="0" customWidth="1"/>
    <x:col min="31" max="31" width="18" hidden="0" customWidth="1"/>
    <x:col min="32" max="32" width="18" hidden="0" customWidth="1"/>
    <x:col min="33" max="33" width="16" hidden="0" customWidth="1"/>
    <x:col min="34" max="34" width="15" hidden="0" customWidth="1"/>
    <x:col min="35" max="35" width="13" hidden="0" customWidth="1"/>
    <x:col min="36" max="36" width="13" hidden="0" customWidth="1"/>
    <x:col min="37" max="37" width="28" hidden="0" customWidth="1"/>
    <x:col min="38" max="38" width="38" hidden="0" customWidth="1"/>
    <x:col min="39" max="39" width="42" hidden="0" customWidth="1"/>
    <x:col min="40" max="40" width="12" hidden="0" customWidth="1"/>
    <x:col min="41" max="41" width="12" hidden="0" customWidth="1"/>
    <x:col min="42" max="42" width="12" hidden="0" customWidth="1"/>
    <x:col min="43" max="43" width="11" hidden="0" customWidth="1"/>
    <x:col min="44" max="44" width="24" hidden="0" customWidth="1"/>
    <x:col min="45" max="45" width="42" hidden="0" customWidth="1"/>
    <x:col min="46" max="46" width="52" hidden="0" customWidth="1"/>
  </x:cols>
  <x:sheetData>
    <x:row r="1" ht="34" customHeight="1">
      <x:c r="A1" s="3" t="str">
        <x:v>DEALS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26" customHeight="1">
      <x:c r="A2" s="6" t="str">
        <x:v>Normalized transaction database with separate M&amp;A, DCM and ECM fields; sourced values are green and calculated outputs are black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</x:row>
    <x:row r="4">
      <x:c r="A4" s="41" t="str">
        <x:v>Use filters in row 6. Blank values mean not disclosed; they are never treated as zero.</x:v>
      </x:c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  <x:c r="AF4" s="41"/>
      <x:c r="AG4" s="41"/>
      <x:c r="AH4" s="41"/>
      <x:c r="AI4" s="41"/>
      <x:c r="AJ4" s="41"/>
      <x:c r="AK4" s="41"/>
      <x:c r="AL4" s="41"/>
      <x:c r="AM4" s="41"/>
      <x:c r="AN4" s="41"/>
      <x:c r="AO4" s="41"/>
      <x:c r="AP4" s="41"/>
      <x:c r="AQ4" s="41"/>
      <x:c r="AR4" s="41"/>
      <x:c r="AS4" s="41"/>
      <x:c r="AT4" s="41"/>
    </x:row>
    <x:row r="6" ht="34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Record Kind</x:v>
      </x:c>
      <x:c r="E6" s="18" t="str">
        <x:v>Status</x:v>
      </x:c>
      <x:c r="F6" s="18" t="str">
        <x:v>Target / Issuer</x:v>
      </x:c>
      <x:c r="G6" s="18" t="str">
        <x:v>Buyer / Investor</x:v>
      </x:c>
      <x:c r="H6" s="18" t="str">
        <x:v>Seller</x:v>
      </x:c>
      <x:c r="I6" s="18" t="str">
        <x:v>Sector</x:v>
      </x:c>
      <x:c r="J6" s="18" t="str">
        <x:v>Geography</x:v>
      </x:c>
      <x:c r="K6" s="18" t="str">
        <x:v>Transaction Value</x:v>
      </x:c>
      <x:c r="L6" s="18" t="str">
        <x:v>Enterprise Value</x:v>
      </x:c>
      <x:c r="M6" s="18" t="str">
        <x:v>Currency</x:v>
      </x:c>
      <x:c r="N6" s="18" t="str">
        <x:v>Stake %</x:v>
      </x:c>
      <x:c r="O6" s="18" t="str">
        <x:v>Payment Form</x:v>
      </x:c>
      <x:c r="P6" s="18" t="str">
        <x:v>Advisors</x:v>
      </x:c>
      <x:c r="Q6" s="18" t="str">
        <x:v>Instrument</x:v>
      </x:c>
      <x:c r="R6" s="18" t="str">
        <x:v>Security Code</x:v>
      </x:c>
      <x:c r="S6" s="18" t="str">
        <x:v>ISIN</x:v>
      </x:c>
      <x:c r="T6" s="18" t="str">
        <x:v>Coupon %</x:v>
      </x:c>
      <x:c r="U6" s="18" t="str">
        <x:v>Coupon Type</x:v>
      </x:c>
      <x:c r="V6" s="18" t="str">
        <x:v>Yield %</x:v>
      </x:c>
      <x:c r="W6" s="18" t="str">
        <x:v>Maturity</x:v>
      </x:c>
      <x:c r="X6" s="18" t="str">
        <x:v>Tenor</x:v>
      </x:c>
      <x:c r="Y6" s="18" t="str">
        <x:v>Issue Price</x:v>
      </x:c>
      <x:c r="Z6" s="18" t="str">
        <x:v>Price / Share</x:v>
      </x:c>
      <x:c r="AA6" s="18" t="str">
        <x:v>Discount %</x:v>
      </x:c>
      <x:c r="AB6" s="18" t="str">
        <x:v>Bookrunners</x:v>
      </x:c>
      <x:c r="AC6" s="18" t="str">
        <x:v>Free Float %</x:v>
      </x:c>
      <x:c r="AD6" s="18" t="str">
        <x:v>Rationale</x:v>
      </x:c>
      <x:c r="AE6" s="18" t="str">
        <x:v>Revenue LTM</x:v>
      </x:c>
      <x:c r="AF6" s="18" t="str">
        <x:v>EBITDA LTM</x:v>
      </x:c>
      <x:c r="AG6" s="18" t="str">
        <x:v>Financials As Of</x:v>
      </x:c>
      <x:c r="AH6" s="18" t="str">
        <x:v>Financials Currency</x:v>
      </x:c>
      <x:c r="AI6" s="18" t="str">
        <x:v>EV / Revenue</x:v>
      </x:c>
      <x:c r="AJ6" s="18" t="str">
        <x:v>EV / EBITDA</x:v>
      </x:c>
      <x:c r="AK6" s="18" t="str">
        <x:v>Financial Source</x:v>
      </x:c>
      <x:c r="AL6" s="18" t="str">
        <x:v>Metric Basis</x:v>
      </x:c>
      <x:c r="AM6" s="18" t="str">
        <x:v>Multiple Notes</x:v>
      </x:c>
      <x:c r="AN6" s="18" t="str">
        <x:v>Quality</x:v>
      </x:c>
      <x:c r="AO6" s="18" t="str">
        <x:v>Quality Score</x:v>
      </x:c>
      <x:c r="AP6" s="18" t="str">
        <x:v>Evidence</x:v>
      </x:c>
      <x:c r="AQ6" s="18" t="str">
        <x:v>Source Count</x:v>
      </x:c>
      <x:c r="AR6" s="18" t="str">
        <x:v>Primary Source</x:v>
      </x:c>
      <x:c r="AS6" s="18" t="str">
        <x:v>Primary URL</x:v>
      </x:c>
      <x:c r="AT6" s="19" t="str">
        <x:v>Headline</x:v>
      </x:c>
    </x:row>
    <x:row r="7">
      <x:c r="A7" s="42" t="str">
        <x:v>DL-moex-101717</x:v>
      </x:c>
      <x:c r="B7" s="44" t="n">
        <x:v>46205</x:v>
      </x:c>
      <x:c r="C7" s="42" t="str">
        <x:v>DCM</x:v>
      </x:c>
      <x:c r="D7" s="42" t="str">
        <x:v>technical_filing</x:v>
      </x:c>
      <x:c r="E7" s="42" t="str">
        <x:v>Announced</x:v>
      </x:c>
      <x:c r="F7" s="42" t="str">
        <x:v>Not disclosed</x:v>
      </x:c>
      <x:c r="G7" s="42" t="str">
        <x:v>Not applicable</x:v>
      </x:c>
      <x:c r="H7" s="42" t="str">
        <x:v>Not applicable</x:v>
      </x:c>
      <x:c r="I7" s="42" t="str">
        <x:v>Not classified</x:v>
      </x:c>
      <x:c r="J7" s="42" t="str">
        <x:v>Russia</x:v>
      </x:c>
      <x:c r="K7" s="45"/>
      <x:c r="L7" s="45"/>
      <x:c r="M7" s="42" t="str">
        <x:v>Not disclosed</x:v>
      </x:c>
      <x:c r="N7" s="46"/>
      <x:c r="O7" s="42" t="str">
        <x:v>Not applicable</x:v>
      </x:c>
      <x:c r="P7" s="42" t="str">
        <x:v>Not disclosed</x:v>
      </x:c>
      <x:c r="Q7" s="42" t="str">
        <x:v>Bonds</x:v>
      </x:c>
      <x:c r="R7" s="42" t="str">
        <x:v>Not disclosed</x:v>
      </x:c>
      <x:c r="S7" s="42" t="str">
        <x:v>Not disclosed</x:v>
      </x:c>
      <x:c r="T7" s="46"/>
      <x:c r="U7" s="42" t="str">
        <x:v>Not disclosed</x:v>
      </x:c>
      <x:c r="V7" s="46"/>
      <x:c r="W7" s="44"/>
      <x:c r="X7" s="42" t="str">
        <x:v>Not disclosed</x:v>
      </x:c>
      <x:c r="Y7" s="42"/>
      <x:c r="Z7" s="42"/>
      <x:c r="AA7" s="46"/>
      <x:c r="AB7" s="42" t="str">
        <x:v>Not applicable</x:v>
      </x:c>
      <x:c r="AC7" s="46"/>
      <x:c r="AD7" s="42" t="str">
        <x:v>Not disclosed</x:v>
      </x:c>
      <x:c r="AE7" s="45"/>
      <x:c r="AF7" s="45"/>
      <x:c r="AG7" s="44"/>
      <x:c r="AH7" s="42" t="str">
        <x:v>Not disclosed</x:v>
      </x:c>
      <x:c r="AI7" s="47"/>
      <x:c r="AJ7" s="47"/>
      <x:c r="AK7" s="42" t="str">
        <x:v>Not disclosed</x:v>
      </x:c>
      <x:c r="AL7" s="42" t="str">
        <x:v>Not disclosed</x:v>
      </x:c>
      <x:c r="AM7" s="42" t="str">
        <x:v>N/M: EV and aligned-currency financials are required</x:v>
      </x:c>
      <x:c r="AN7" s="42" t="str">
        <x:v>review</x:v>
      </x:c>
      <x:c r="AO7" s="42" t="n">
        <x:v>40</x:v>
      </x:c>
      <x:c r="AP7" s="42" t="str">
        <x:v>confirmed</x:v>
      </x:c>
      <x:c r="AQ7" s="42" t="n">
        <x:v>1</x:v>
      </x:c>
      <x:c r="AR7" s="42" t="str">
        <x:v>MOEX disclosure</x:v>
      </x:c>
      <x:c r="AS7" s="42" t="str">
        <x:v>https://www.moex.com/n101717</x:v>
      </x:c>
      <x:c r="AT7" s="42" t="str">
        <x:v>Московская биржа начала торги паями активно управляемого БПИФ на российские гособлигации</x:v>
      </x:c>
    </x:row>
    <x:row r="8">
      <x:c r="A8" s="42" t="str">
        <x:v>DL-moex-101722</x:v>
      </x:c>
      <x:c r="B8" s="44" t="n">
        <x:v>46205</x:v>
      </x:c>
      <x:c r="C8" s="42" t="str">
        <x:v>DCM</x:v>
      </x:c>
      <x:c r="D8" s="42" t="str">
        <x:v>technical_filing</x:v>
      </x:c>
      <x:c r="E8" s="42" t="str">
        <x:v>Confirmed</x:v>
      </x:c>
      <x:c r="F8" s="42" t="str">
        <x:v>Not disclosed</x:v>
      </x:c>
      <x:c r="G8" s="42" t="str">
        <x:v>Not applicable</x:v>
      </x:c>
      <x:c r="H8" s="42" t="str">
        <x:v>Not applicable</x:v>
      </x:c>
      <x:c r="I8" s="42" t="str">
        <x:v>Financials</x:v>
      </x:c>
      <x:c r="J8" s="42" t="str">
        <x:v>Russia</x:v>
      </x:c>
      <x:c r="K8" s="45" t="n">
        <x:v>9148870000</x:v>
      </x:c>
      <x:c r="L8" s="45"/>
      <x:c r="M8" s="42" t="str">
        <x:v>RUB</x:v>
      </x:c>
      <x:c r="N8" s="46"/>
      <x:c r="O8" s="42" t="str">
        <x:v>Not applicable</x:v>
      </x:c>
      <x:c r="P8" s="42" t="str">
        <x:v>Not disclosed</x:v>
      </x:c>
      <x:c r="Q8" s="42" t="str">
        <x:v>Bonds</x:v>
      </x:c>
      <x:c r="R8" s="42" t="str">
        <x:v>4B02-1234-01000-B-005P</x:v>
      </x:c>
      <x:c r="S8" s="42" t="str">
        <x:v>Not disclosed</x:v>
      </x:c>
      <x:c r="T8" s="46"/>
      <x:c r="U8" s="42" t="str">
        <x:v>Not disclosed</x:v>
      </x:c>
      <x:c r="V8" s="46"/>
      <x:c r="W8" s="44"/>
      <x:c r="X8" s="42" t="str">
        <x:v>Not disclosed</x:v>
      </x:c>
      <x:c r="Y8" s="42" t="n">
        <x:v>999.628</x:v>
      </x:c>
      <x:c r="Z8" s="42"/>
      <x:c r="AA8" s="46"/>
      <x:c r="AB8" s="42" t="str">
        <x:v>Not applicable</x:v>
      </x:c>
      <x:c r="AC8" s="46"/>
      <x:c r="AD8" s="42" t="str">
        <x:v>Not disclosed</x:v>
      </x:c>
      <x:c r="AE8" s="45"/>
      <x:c r="AF8" s="45"/>
      <x:c r="AG8" s="44"/>
      <x:c r="AH8" s="42" t="str">
        <x:v>Not disclosed</x:v>
      </x:c>
      <x:c r="AI8" s="47"/>
      <x:c r="AJ8" s="47"/>
      <x:c r="AK8" s="42" t="str">
        <x:v>Not disclosed</x:v>
      </x:c>
      <x:c r="AL8" s="42" t="str">
        <x:v>Not disclosed</x:v>
      </x:c>
      <x:c r="AM8" s="42" t="str">
        <x:v>N/M: EV and aligned-currency financials are required</x:v>
      </x:c>
      <x:c r="AN8" s="42" t="str">
        <x:v>review</x:v>
      </x:c>
      <x:c r="AO8" s="42" t="n">
        <x:v>40</x:v>
      </x:c>
      <x:c r="AP8" s="42" t="str">
        <x:v>confirmed</x:v>
      </x:c>
      <x:c r="AQ8" s="42" t="n">
        <x:v>1</x:v>
      </x:c>
      <x:c r="AR8" s="42" t="str">
        <x:v>MOEX disclosure</x:v>
      </x:c>
      <x:c r="AS8" s="42" t="str">
        <x:v>https://www.moex.com/n101722</x:v>
      </x:c>
      <x:c r="AT8" s="42" t="str">
        <x:v>Итоги выпуска биржевых облигаций</x:v>
      </x:c>
    </x:row>
    <x:row r="9">
      <x:c r="A9" s="42" t="str">
        <x:v>DL-moex-101737</x:v>
      </x:c>
      <x:c r="B9" s="44" t="n">
        <x:v>46205</x:v>
      </x:c>
      <x:c r="C9" s="42" t="str">
        <x:v>DCM</x:v>
      </x:c>
      <x:c r="D9" s="42" t="str">
        <x:v>technical_filing</x:v>
      </x:c>
      <x:c r="E9" s="42" t="str">
        <x:v>Confirmed</x:v>
      </x:c>
      <x:c r="F9" s="42" t="str">
        <x:v>Not disclosed</x:v>
      </x:c>
      <x:c r="G9" s="42" t="str">
        <x:v>Not applicable</x:v>
      </x:c>
      <x:c r="H9" s="42" t="str">
        <x:v>Not applicable</x:v>
      </x:c>
      <x:c r="I9" s="42" t="str">
        <x:v>Not classified</x:v>
      </x:c>
      <x:c r="J9" s="42" t="str">
        <x:v>Russia</x:v>
      </x:c>
      <x:c r="K9" s="45"/>
      <x:c r="L9" s="45"/>
      <x:c r="M9" s="42" t="str">
        <x:v>Not disclosed</x:v>
      </x:c>
      <x:c r="N9" s="46"/>
      <x:c r="O9" s="42" t="str">
        <x:v>Not applicable</x:v>
      </x:c>
      <x:c r="P9" s="42" t="str">
        <x:v>Not disclosed</x:v>
      </x:c>
      <x:c r="Q9" s="42" t="str">
        <x:v>Bonds</x:v>
      </x:c>
      <x:c r="R9" s="42" t="str">
        <x:v>4B02-01-16806-A-002P</x:v>
      </x:c>
      <x:c r="S9" s="42" t="str">
        <x:v>Not disclosed</x:v>
      </x:c>
      <x:c r="T9" s="46"/>
      <x:c r="U9" s="42" t="str">
        <x:v>Not disclosed</x:v>
      </x:c>
      <x:c r="V9" s="46"/>
      <x:c r="W9" s="44"/>
      <x:c r="X9" s="42" t="str">
        <x:v>Not disclosed</x:v>
      </x:c>
      <x:c r="Y9" s="42"/>
      <x:c r="Z9" s="42"/>
      <x:c r="AA9" s="46"/>
      <x:c r="AB9" s="42" t="str">
        <x:v>Not applicable</x:v>
      </x:c>
      <x:c r="AC9" s="46"/>
      <x:c r="AD9" s="42" t="str">
        <x:v>Not disclosed</x:v>
      </x:c>
      <x:c r="AE9" s="45"/>
      <x:c r="AF9" s="45"/>
      <x:c r="AG9" s="44"/>
      <x:c r="AH9" s="42" t="str">
        <x:v>Not disclosed</x:v>
      </x:c>
      <x:c r="AI9" s="47"/>
      <x:c r="AJ9" s="47"/>
      <x:c r="AK9" s="42" t="str">
        <x:v>Not disclosed</x:v>
      </x:c>
      <x:c r="AL9" s="42" t="str">
        <x:v>Not disclosed</x:v>
      </x:c>
      <x:c r="AM9" s="42" t="str">
        <x:v>N/M: EV and aligned-currency financials are required</x:v>
      </x:c>
      <x:c r="AN9" s="42" t="str">
        <x:v>review</x:v>
      </x:c>
      <x:c r="AO9" s="42" t="n">
        <x:v>40</x:v>
      </x:c>
      <x:c r="AP9" s="42" t="str">
        <x:v>confirmed</x:v>
      </x:c>
      <x:c r="AQ9" s="42" t="n">
        <x:v>1</x:v>
      </x:c>
      <x:c r="AR9" s="42" t="str">
        <x:v>MOEX disclosure</x:v>
      </x:c>
      <x:c r="AS9" s="42" t="str">
        <x:v>https://www.moex.com/n101737</x:v>
      </x:c>
      <x:c r="AT9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10">
      <x:c r="A10" s="42" t="str">
        <x:v>DL-moex-101734</x:v>
      </x:c>
      <x:c r="B10" s="44" t="n">
        <x:v>46205</x:v>
      </x:c>
      <x:c r="C10" s="42" t="str">
        <x:v>DCM</x:v>
      </x:c>
      <x:c r="D10" s="42" t="str">
        <x:v>technical_filing</x:v>
      </x:c>
      <x:c r="E10" s="42" t="str">
        <x:v>Confirmed</x:v>
      </x:c>
      <x:c r="F10" s="42" t="str">
        <x:v>Not disclosed</x:v>
      </x:c>
      <x:c r="G10" s="42" t="str">
        <x:v>Not applicable</x:v>
      </x:c>
      <x:c r="H10" s="42" t="str">
        <x:v>Not applicable</x:v>
      </x:c>
      <x:c r="I10" s="42" t="str">
        <x:v>Not classified</x:v>
      </x:c>
      <x:c r="J10" s="42" t="str">
        <x:v>Russia</x:v>
      </x:c>
      <x:c r="K10" s="45"/>
      <x:c r="L10" s="45"/>
      <x:c r="M10" s="42" t="str">
        <x:v>Not disclosed</x:v>
      </x:c>
      <x:c r="N10" s="46"/>
      <x:c r="O10" s="42" t="str">
        <x:v>Not applicable</x:v>
      </x:c>
      <x:c r="P10" s="42" t="str">
        <x:v>Not disclosed</x:v>
      </x:c>
      <x:c r="Q10" s="42" t="str">
        <x:v>Bonds</x:v>
      </x:c>
      <x:c r="R10" s="42" t="str">
        <x:v>Not disclosed</x:v>
      </x:c>
      <x:c r="S10" s="42" t="str">
        <x:v>Not disclosed</x:v>
      </x:c>
      <x:c r="T10" s="46"/>
      <x:c r="U10" s="42" t="str">
        <x:v>Not disclosed</x:v>
      </x:c>
      <x:c r="V10" s="46"/>
      <x:c r="W10" s="44"/>
      <x:c r="X10" s="42" t="str">
        <x:v>Not disclosed</x:v>
      </x:c>
      <x:c r="Y10" s="42"/>
      <x:c r="Z10" s="42"/>
      <x:c r="AA10" s="46"/>
      <x:c r="AB10" s="42" t="str">
        <x:v>Not applicable</x:v>
      </x:c>
      <x:c r="AC10" s="46"/>
      <x:c r="AD10" s="42" t="str">
        <x:v>Not disclosed</x:v>
      </x:c>
      <x:c r="AE10" s="45"/>
      <x:c r="AF10" s="45"/>
      <x:c r="AG10" s="44"/>
      <x:c r="AH10" s="42" t="str">
        <x:v>Not disclosed</x:v>
      </x:c>
      <x:c r="AI10" s="47"/>
      <x:c r="AJ10" s="47"/>
      <x:c r="AK10" s="42" t="str">
        <x:v>Not disclosed</x:v>
      </x:c>
      <x:c r="AL10" s="42" t="str">
        <x:v>Not disclosed</x:v>
      </x:c>
      <x:c r="AM10" s="42" t="str">
        <x:v>N/M: EV and aligned-currency financials are required</x:v>
      </x:c>
      <x:c r="AN10" s="42" t="str">
        <x:v>review</x:v>
      </x:c>
      <x:c r="AO10" s="42" t="n">
        <x:v>40</x:v>
      </x:c>
      <x:c r="AP10" s="42" t="str">
        <x:v>confirmed</x:v>
      </x:c>
      <x:c r="AQ10" s="42" t="n">
        <x:v>1</x:v>
      </x:c>
      <x:c r="AR10" s="42" t="str">
        <x:v>MOEX disclosure</x:v>
      </x:c>
      <x:c r="AS10" s="42" t="str">
        <x:v>https://www.moex.com/n101734</x:v>
      </x:c>
      <x:c r="AT10" s="42" t="str">
        <x:v>О регистрации программы и проспекта биржевых облигаций</x:v>
      </x:c>
    </x:row>
    <x:row r="11">
      <x:c r="A11" s="42" t="str">
        <x:v>DL-moex-101738</x:v>
      </x:c>
      <x:c r="B11" s="44" t="n">
        <x:v>46205</x:v>
      </x:c>
      <x:c r="C11" s="42" t="str">
        <x:v>DCM</x:v>
      </x:c>
      <x:c r="D11" s="42" t="str">
        <x:v>technical_filing</x:v>
      </x:c>
      <x:c r="E11" s="42" t="str">
        <x:v>Confirmed</x:v>
      </x:c>
      <x:c r="F11" s="42" t="str">
        <x:v>Not disclosed</x:v>
      </x:c>
      <x:c r="G11" s="42" t="str">
        <x:v>Not applicable</x:v>
      </x:c>
      <x:c r="H11" s="42" t="str">
        <x:v>Not applicable</x:v>
      </x:c>
      <x:c r="I11" s="42" t="str">
        <x:v>Not classified</x:v>
      </x:c>
      <x:c r="J11" s="42" t="str">
        <x:v>Russia</x:v>
      </x:c>
      <x:c r="K11" s="45"/>
      <x:c r="L11" s="45"/>
      <x:c r="M11" s="42" t="str">
        <x:v>Not disclosed</x:v>
      </x:c>
      <x:c r="N11" s="46"/>
      <x:c r="O11" s="42" t="str">
        <x:v>Not applicable</x:v>
      </x:c>
      <x:c r="P11" s="42" t="str">
        <x:v>Not disclosed</x:v>
      </x:c>
      <x:c r="Q11" s="42" t="str">
        <x:v>Bonds</x:v>
      </x:c>
      <x:c r="R11" s="42" t="str">
        <x:v>Not disclosed</x:v>
      </x:c>
      <x:c r="S11" s="42" t="str">
        <x:v>Not disclosed</x:v>
      </x:c>
      <x:c r="T11" s="46"/>
      <x:c r="U11" s="42" t="str">
        <x:v>Not disclosed</x:v>
      </x:c>
      <x:c r="V11" s="46"/>
      <x:c r="W11" s="44"/>
      <x:c r="X11" s="42" t="str">
        <x:v>Not disclosed</x:v>
      </x:c>
      <x:c r="Y11" s="42"/>
      <x:c r="Z11" s="42"/>
      <x:c r="AA11" s="46"/>
      <x:c r="AB11" s="42" t="str">
        <x:v>Not applicable</x:v>
      </x:c>
      <x:c r="AC11" s="46"/>
      <x:c r="AD11" s="42" t="str">
        <x:v>Not disclosed</x:v>
      </x:c>
      <x:c r="AE11" s="45"/>
      <x:c r="AF11" s="45"/>
      <x:c r="AG11" s="44"/>
      <x:c r="AH11" s="42" t="str">
        <x:v>Not disclosed</x:v>
      </x:c>
      <x:c r="AI11" s="47"/>
      <x:c r="AJ11" s="47"/>
      <x:c r="AK11" s="42" t="str">
        <x:v>Not disclosed</x:v>
      </x:c>
      <x:c r="AL11" s="42" t="str">
        <x:v>Not disclosed</x:v>
      </x:c>
      <x:c r="AM11" s="42" t="str">
        <x:v>N/M: EV and aligned-currency financials are required</x:v>
      </x:c>
      <x:c r="AN11" s="42" t="str">
        <x:v>review</x:v>
      </x:c>
      <x:c r="AO11" s="42" t="n">
        <x:v>40</x:v>
      </x:c>
      <x:c r="AP11" s="42" t="str">
        <x:v>confirmed</x:v>
      </x:c>
      <x:c r="AQ11" s="42" t="n">
        <x:v>1</x:v>
      </x:c>
      <x:c r="AR11" s="42" t="str">
        <x:v>MOEX disclosure</x:v>
      </x:c>
      <x:c r="AS11" s="42" t="str">
        <x:v>https://www.moex.com/n101738</x:v>
      </x:c>
      <x:c r="AT11" s="42" t="str">
        <x:v>О регистрации изменений в эмиссионные документы</x:v>
      </x:c>
    </x:row>
    <x:row r="12">
      <x:c r="A12" s="42" t="str">
        <x:v>DL-moex-101663</x:v>
      </x:c>
      <x:c r="B12" s="44" t="n">
        <x:v>46204</x:v>
      </x:c>
      <x:c r="C12" s="42" t="str">
        <x:v>DCM</x:v>
      </x:c>
      <x:c r="D12" s="42" t="str">
        <x:v>technical_filing</x:v>
      </x:c>
      <x:c r="E12" s="42" t="str">
        <x:v>Confirmed</x:v>
      </x:c>
      <x:c r="F12" s="42" t="str">
        <x:v>ООО "УК СГБ"</x:v>
      </x:c>
      <x:c r="G12" s="42" t="str">
        <x:v>Not applicable</x:v>
      </x:c>
      <x:c r="H12" s="42" t="str">
        <x:v>Not applicable</x:v>
      </x:c>
      <x:c r="I12" s="42" t="str">
        <x:v>Not classified</x:v>
      </x:c>
      <x:c r="J12" s="42" t="str">
        <x:v>Russia</x:v>
      </x:c>
      <x:c r="K12" s="45"/>
      <x:c r="L12" s="45"/>
      <x:c r="M12" s="42" t="str">
        <x:v>Not disclosed</x:v>
      </x:c>
      <x:c r="N12" s="46"/>
      <x:c r="O12" s="42" t="str">
        <x:v>Not applicable</x:v>
      </x:c>
      <x:c r="P12" s="42" t="str">
        <x:v>Not disclosed</x:v>
      </x:c>
      <x:c r="Q12" s="42" t="str">
        <x:v>Bonds</x:v>
      </x:c>
      <x:c r="R12" s="42" t="str">
        <x:v>Not disclosed</x:v>
      </x:c>
      <x:c r="S12" s="42" t="str">
        <x:v>RU000A10D7W9</x:v>
      </x:c>
      <x:c r="T12" s="46"/>
      <x:c r="U12" s="42" t="str">
        <x:v>Not disclosed</x:v>
      </x:c>
      <x:c r="V12" s="46"/>
      <x:c r="W12" s="44"/>
      <x:c r="X12" s="42" t="str">
        <x:v>Not disclosed</x:v>
      </x:c>
      <x:c r="Y12" s="42"/>
      <x:c r="Z12" s="42"/>
      <x:c r="AA12" s="46"/>
      <x:c r="AB12" s="42" t="str">
        <x:v>Not applicable</x:v>
      </x:c>
      <x:c r="AC12" s="46"/>
      <x:c r="AD12" s="42" t="str">
        <x:v>Not disclosed</x:v>
      </x:c>
      <x:c r="AE12" s="45"/>
      <x:c r="AF12" s="45"/>
      <x:c r="AG12" s="44"/>
      <x:c r="AH12" s="42" t="str">
        <x:v>Not disclosed</x:v>
      </x:c>
      <x:c r="AI12" s="47"/>
      <x:c r="AJ12" s="47"/>
      <x:c r="AK12" s="42" t="str">
        <x:v>Not disclosed</x:v>
      </x:c>
      <x:c r="AL12" s="42" t="str">
        <x:v>Not disclosed</x:v>
      </x:c>
      <x:c r="AM12" s="42" t="str">
        <x:v>N/M: EV and aligned-currency financials are required</x:v>
      </x:c>
      <x:c r="AN12" s="42" t="str">
        <x:v>review</x:v>
      </x:c>
      <x:c r="AO12" s="42" t="n">
        <x:v>60</x:v>
      </x:c>
      <x:c r="AP12" s="42" t="str">
        <x:v>confirmed</x:v>
      </x:c>
      <x:c r="AQ12" s="42" t="n">
        <x:v>1</x:v>
      </x:c>
      <x:c r="AR12" s="42" t="str">
        <x:v>MOEX disclosure</x:v>
      </x:c>
      <x:c r="AS12" s="42" t="str">
        <x:v>https://www.moex.com/n101663</x:v>
      </x:c>
      <x:c r="AT12" s="42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13">
      <x:c r="A13" s="42" t="str">
        <x:v>DL-moex-101666</x:v>
      </x:c>
      <x:c r="B13" s="44" t="n">
        <x:v>46204</x:v>
      </x:c>
      <x:c r="C13" s="42" t="str">
        <x:v>DCM</x:v>
      </x:c>
      <x:c r="D13" s="42" t="str">
        <x:v>technical_filing</x:v>
      </x:c>
      <x:c r="E13" s="42" t="str">
        <x:v>Confirmed</x:v>
      </x:c>
      <x:c r="F13" s="42" t="str">
        <x:v>Not disclosed</x:v>
      </x:c>
      <x:c r="G13" s="42" t="str">
        <x:v>Not applicable</x:v>
      </x:c>
      <x:c r="H13" s="42" t="str">
        <x:v>Not applicable</x:v>
      </x:c>
      <x:c r="I13" s="42" t="str">
        <x:v>Financials</x:v>
      </x:c>
      <x:c r="J13" s="42" t="str">
        <x:v>Russia</x:v>
      </x:c>
      <x:c r="K13" s="45" t="n">
        <x:v>8821850000</x:v>
      </x:c>
      <x:c r="L13" s="45"/>
      <x:c r="M13" s="42" t="str">
        <x:v>RUB</x:v>
      </x:c>
      <x:c r="N13" s="46"/>
      <x:c r="O13" s="42" t="str">
        <x:v>Not applicable</x:v>
      </x:c>
      <x:c r="P13" s="42" t="str">
        <x:v>Not disclosed</x:v>
      </x:c>
      <x:c r="Q13" s="42" t="str">
        <x:v>Bonds</x:v>
      </x:c>
      <x:c r="R13" s="42" t="str">
        <x:v>4B02-1233-01000-B-005P</x:v>
      </x:c>
      <x:c r="S13" s="42" t="str">
        <x:v>Not disclosed</x:v>
      </x:c>
      <x:c r="T13" s="46"/>
      <x:c r="U13" s="42" t="str">
        <x:v>Not disclosed</x:v>
      </x:c>
      <x:c r="V13" s="46"/>
      <x:c r="W13" s="44"/>
      <x:c r="X13" s="42" t="str">
        <x:v>Not disclosed</x:v>
      </x:c>
      <x:c r="Y13" s="42" t="n">
        <x:v>999.625</x:v>
      </x:c>
      <x:c r="Z13" s="42"/>
      <x:c r="AA13" s="46"/>
      <x:c r="AB13" s="42" t="str">
        <x:v>Not applicable</x:v>
      </x:c>
      <x:c r="AC13" s="46"/>
      <x:c r="AD13" s="42" t="str">
        <x:v>Not disclosed</x:v>
      </x:c>
      <x:c r="AE13" s="45"/>
      <x:c r="AF13" s="45"/>
      <x:c r="AG13" s="44"/>
      <x:c r="AH13" s="42" t="str">
        <x:v>Not disclosed</x:v>
      </x:c>
      <x:c r="AI13" s="47"/>
      <x:c r="AJ13" s="47"/>
      <x:c r="AK13" s="42" t="str">
        <x:v>Not disclosed</x:v>
      </x:c>
      <x:c r="AL13" s="42" t="str">
        <x:v>Not disclosed</x:v>
      </x:c>
      <x:c r="AM13" s="42" t="str">
        <x:v>N/M: EV and aligned-currency financials are required</x:v>
      </x:c>
      <x:c r="AN13" s="42" t="str">
        <x:v>review</x:v>
      </x:c>
      <x:c r="AO13" s="42" t="n">
        <x:v>40</x:v>
      </x:c>
      <x:c r="AP13" s="42" t="str">
        <x:v>confirmed</x:v>
      </x:c>
      <x:c r="AQ13" s="42" t="n">
        <x:v>1</x:v>
      </x:c>
      <x:c r="AR13" s="42" t="str">
        <x:v>MOEX disclosure</x:v>
      </x:c>
      <x:c r="AS13" s="42" t="str">
        <x:v>https://www.moex.com/n101666</x:v>
      </x:c>
      <x:c r="AT13" s="42" t="str">
        <x:v>Итоги выпуска биржевых облигаций</x:v>
      </x:c>
    </x:row>
    <x:row r="14">
      <x:c r="A14" s="42" t="str">
        <x:v>DL-moex-101684</x:v>
      </x:c>
      <x:c r="B14" s="44" t="n">
        <x:v>46204</x:v>
      </x:c>
      <x:c r="C14" s="42" t="str">
        <x:v>DCM</x:v>
      </x:c>
      <x:c r="D14" s="42" t="str">
        <x:v>technical_filing</x:v>
      </x:c>
      <x:c r="E14" s="42" t="str">
        <x:v>Confirmed</x:v>
      </x:c>
      <x:c r="F14" s="42" t="str">
        <x:v>Not disclosed</x:v>
      </x:c>
      <x:c r="G14" s="42" t="str">
        <x:v>Not applicable</x:v>
      </x:c>
      <x:c r="H14" s="42" t="str">
        <x:v>Not applicable</x:v>
      </x:c>
      <x:c r="I14" s="42" t="str">
        <x:v>Financials</x:v>
      </x:c>
      <x:c r="J14" s="42" t="str">
        <x:v>Russia</x:v>
      </x:c>
      <x:c r="K14" s="45"/>
      <x:c r="L14" s="45"/>
      <x:c r="M14" s="42" t="str">
        <x:v>Not disclosed</x:v>
      </x:c>
      <x:c r="N14" s="46"/>
      <x:c r="O14" s="42" t="str">
        <x:v>Not applicable</x:v>
      </x:c>
      <x:c r="P14" s="42" t="str">
        <x:v>Not disclosed</x:v>
      </x:c>
      <x:c r="Q14" s="42" t="str">
        <x:v>Bonds</x:v>
      </x:c>
      <x:c r="R14" s="42" t="str">
        <x:v>4B02-839-01481-B-001P</x:v>
      </x:c>
      <x:c r="S14" s="42" t="str">
        <x:v>Not disclosed</x:v>
      </x:c>
      <x:c r="T14" s="46"/>
      <x:c r="U14" s="42" t="str">
        <x:v>Not disclosed</x:v>
      </x:c>
      <x:c r="V14" s="46"/>
      <x:c r="W14" s="44"/>
      <x:c r="X14" s="42" t="str">
        <x:v>Not disclosed</x:v>
      </x:c>
      <x:c r="Y14" s="42"/>
      <x:c r="Z14" s="42"/>
      <x:c r="AA14" s="46"/>
      <x:c r="AB14" s="42" t="str">
        <x:v>Not applicable</x:v>
      </x:c>
      <x:c r="AC14" s="46"/>
      <x:c r="AD14" s="42" t="str">
        <x:v>Not disclosed</x:v>
      </x:c>
      <x:c r="AE14" s="45"/>
      <x:c r="AF14" s="45"/>
      <x:c r="AG14" s="44"/>
      <x:c r="AH14" s="42" t="str">
        <x:v>Not disclosed</x:v>
      </x:c>
      <x:c r="AI14" s="47"/>
      <x:c r="AJ14" s="47"/>
      <x:c r="AK14" s="42" t="str">
        <x:v>Not disclosed</x:v>
      </x:c>
      <x:c r="AL14" s="42" t="str">
        <x:v>Not disclosed</x:v>
      </x:c>
      <x:c r="AM14" s="42" t="str">
        <x:v>N/M: EV and aligned-currency financials are required</x:v>
      </x:c>
      <x:c r="AN14" s="42" t="str">
        <x:v>review</x:v>
      </x:c>
      <x:c r="AO14" s="42" t="n">
        <x:v>40</x:v>
      </x:c>
      <x:c r="AP14" s="42" t="str">
        <x:v>confirmed</x:v>
      </x:c>
      <x:c r="AQ14" s="42" t="n">
        <x:v>1</x:v>
      </x:c>
      <x:c r="AR14" s="42" t="str">
        <x:v>MOEX disclosure</x:v>
      </x:c>
      <x:c r="AS14" s="42" t="str">
        <x:v>https://www.moex.com/n101684</x:v>
      </x:c>
      <x:c r="AT14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15">
      <x:c r="A15" s="42" t="str">
        <x:v>DL-moex-101691</x:v>
      </x:c>
      <x:c r="B15" s="44" t="n">
        <x:v>46204</x:v>
      </x:c>
      <x:c r="C15" s="42" t="str">
        <x:v>DCM</x:v>
      </x:c>
      <x:c r="D15" s="42" t="str">
        <x:v>technical_filing</x:v>
      </x:c>
      <x:c r="E15" s="42" t="str">
        <x:v>Confirmed</x:v>
      </x:c>
      <x:c r="F15" s="42" t="str">
        <x:v>Not disclosed</x:v>
      </x:c>
      <x:c r="G15" s="42" t="str">
        <x:v>Not applicable</x:v>
      </x:c>
      <x:c r="H15" s="42" t="str">
        <x:v>Not applicable</x:v>
      </x:c>
      <x:c r="I15" s="42" t="str">
        <x:v>Not classified</x:v>
      </x:c>
      <x:c r="J15" s="42" t="str">
        <x:v>Russia</x:v>
      </x:c>
      <x:c r="K15" s="45"/>
      <x:c r="L15" s="45"/>
      <x:c r="M15" s="42" t="str">
        <x:v>Not disclosed</x:v>
      </x:c>
      <x:c r="N15" s="46"/>
      <x:c r="O15" s="42" t="str">
        <x:v>Not applicable</x:v>
      </x:c>
      <x:c r="P15" s="42" t="str">
        <x:v>Not disclosed</x:v>
      </x:c>
      <x:c r="Q15" s="42" t="str">
        <x:v>Bonds</x:v>
      </x:c>
      <x:c r="R15" s="42" t="str">
        <x:v>Not disclosed</x:v>
      </x:c>
      <x:c r="S15" s="42" t="str">
        <x:v>Not disclosed</x:v>
      </x:c>
      <x:c r="T15" s="46"/>
      <x:c r="U15" s="42" t="str">
        <x:v>Not disclosed</x:v>
      </x:c>
      <x:c r="V15" s="46"/>
      <x:c r="W15" s="44"/>
      <x:c r="X15" s="42" t="str">
        <x:v>Not disclosed</x:v>
      </x:c>
      <x:c r="Y15" s="42"/>
      <x:c r="Z15" s="42"/>
      <x:c r="AA15" s="46"/>
      <x:c r="AB15" s="42" t="str">
        <x:v>Not applicable</x:v>
      </x:c>
      <x:c r="AC15" s="46"/>
      <x:c r="AD15" s="42" t="str">
        <x:v>Not disclosed</x:v>
      </x:c>
      <x:c r="AE15" s="45"/>
      <x:c r="AF15" s="45"/>
      <x:c r="AG15" s="44"/>
      <x:c r="AH15" s="42" t="str">
        <x:v>Not disclosed</x:v>
      </x:c>
      <x:c r="AI15" s="47"/>
      <x:c r="AJ15" s="47"/>
      <x:c r="AK15" s="42" t="str">
        <x:v>Not disclosed</x:v>
      </x:c>
      <x:c r="AL15" s="42" t="str">
        <x:v>Not disclosed</x:v>
      </x:c>
      <x:c r="AM15" s="42" t="str">
        <x:v>N/M: EV and aligned-currency financials are required</x:v>
      </x:c>
      <x:c r="AN15" s="42" t="str">
        <x:v>review</x:v>
      </x:c>
      <x:c r="AO15" s="42" t="n">
        <x:v>40</x:v>
      </x:c>
      <x:c r="AP15" s="42" t="str">
        <x:v>confirmed</x:v>
      </x:c>
      <x:c r="AQ15" s="42" t="n">
        <x:v>1</x:v>
      </x:c>
      <x:c r="AR15" s="42" t="str">
        <x:v>MOEX disclosure</x:v>
      </x:c>
      <x:c r="AS15" s="42" t="str">
        <x:v>https://www.moex.com/n101691</x:v>
      </x:c>
      <x:c r="AT15" s="42" t="str">
        <x:v>О регистрации изменений в эмиссионные документы</x:v>
      </x:c>
    </x:row>
    <x:row r="16">
      <x:c r="A16" s="42" t="str">
        <x:v>DL-moex-101690</x:v>
      </x:c>
      <x:c r="B16" s="44" t="n">
        <x:v>46204</x:v>
      </x:c>
      <x:c r="C16" s="42" t="str">
        <x:v>DCM</x:v>
      </x:c>
      <x:c r="D16" s="42" t="str">
        <x:v>technical_filing</x:v>
      </x:c>
      <x:c r="E16" s="42" t="str">
        <x:v>Confirmed</x:v>
      </x:c>
      <x:c r="F16" s="42" t="str">
        <x:v>Not disclosed</x:v>
      </x:c>
      <x:c r="G16" s="42" t="str">
        <x:v>Not applicable</x:v>
      </x:c>
      <x:c r="H16" s="42" t="str">
        <x:v>Not applicable</x:v>
      </x:c>
      <x:c r="I16" s="42" t="str">
        <x:v>Financials</x:v>
      </x:c>
      <x:c r="J16" s="42" t="str">
        <x:v>Russia</x:v>
      </x:c>
      <x:c r="K16" s="45"/>
      <x:c r="L16" s="45"/>
      <x:c r="M16" s="42" t="str">
        <x:v>Not disclosed</x:v>
      </x:c>
      <x:c r="N16" s="46"/>
      <x:c r="O16" s="42" t="str">
        <x:v>Not applicable</x:v>
      </x:c>
      <x:c r="P16" s="42" t="str">
        <x:v>Not disclosed</x:v>
      </x:c>
      <x:c r="Q16" s="42" t="str">
        <x:v>Bonds</x:v>
      </x:c>
      <x:c r="R16" s="42" t="str">
        <x:v>4B02-829-01481-B-001P</x:v>
      </x:c>
      <x:c r="S16" s="42" t="str">
        <x:v>RU000A10F8Y1</x:v>
      </x:c>
      <x:c r="T16" s="46"/>
      <x:c r="U16" s="42" t="str">
        <x:v>Not disclosed</x:v>
      </x:c>
      <x:c r="V16" s="46"/>
      <x:c r="W16" s="44"/>
      <x:c r="X16" s="42" t="str">
        <x:v>Not disclosed</x:v>
      </x:c>
      <x:c r="Y16" s="42"/>
      <x:c r="Z16" s="42"/>
      <x:c r="AA16" s="46"/>
      <x:c r="AB16" s="42" t="str">
        <x:v>Not applicable</x:v>
      </x:c>
      <x:c r="AC16" s="46"/>
      <x:c r="AD16" s="42" t="str">
        <x:v>Not disclosed</x:v>
      </x:c>
      <x:c r="AE16" s="45"/>
      <x:c r="AF16" s="45"/>
      <x:c r="AG16" s="44"/>
      <x:c r="AH16" s="42" t="str">
        <x:v>Not disclosed</x:v>
      </x:c>
      <x:c r="AI16" s="47"/>
      <x:c r="AJ16" s="47"/>
      <x:c r="AK16" s="42" t="str">
        <x:v>Not disclosed</x:v>
      </x:c>
      <x:c r="AL16" s="42" t="str">
        <x:v>Not disclosed</x:v>
      </x:c>
      <x:c r="AM16" s="42" t="str">
        <x:v>N/M: EV and aligned-currency financials are required</x:v>
      </x:c>
      <x:c r="AN16" s="42" t="str">
        <x:v>review</x:v>
      </x:c>
      <x:c r="AO16" s="42" t="n">
        <x:v>40</x:v>
      </x:c>
      <x:c r="AP16" s="42" t="str">
        <x:v>confirmed</x:v>
      </x:c>
      <x:c r="AQ16" s="42" t="n">
        <x:v>1</x:v>
      </x:c>
      <x:c r="AR16" s="42" t="str">
        <x:v>MOEX disclosure</x:v>
      </x:c>
      <x:c r="AS16" s="42" t="str">
        <x:v>https://www.moex.com/n101690</x:v>
      </x:c>
      <x:c r="AT16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17">
      <x:c r="A17" s="42" t="str">
        <x:v>DL-moex-101688</x:v>
      </x:c>
      <x:c r="B17" s="44" t="n">
        <x:v>46204</x:v>
      </x:c>
      <x:c r="C17" s="42" t="str">
        <x:v>DCM</x:v>
      </x:c>
      <x:c r="D17" s="42" t="str">
        <x:v>technical_filing</x:v>
      </x:c>
      <x:c r="E17" s="42" t="str">
        <x:v>Confirmed</x:v>
      </x:c>
      <x:c r="F17" s="42" t="str">
        <x:v>Not disclosed</x:v>
      </x:c>
      <x:c r="G17" s="42" t="str">
        <x:v>Not applicable</x:v>
      </x:c>
      <x:c r="H17" s="42" t="str">
        <x:v>Not applicable</x:v>
      </x:c>
      <x:c r="I17" s="42" t="str">
        <x:v>Financials</x:v>
      </x:c>
      <x:c r="J17" s="42" t="str">
        <x:v>Russia</x:v>
      </x:c>
      <x:c r="K17" s="45"/>
      <x:c r="L17" s="45"/>
      <x:c r="M17" s="42" t="str">
        <x:v>Not disclosed</x:v>
      </x:c>
      <x:c r="N17" s="46"/>
      <x:c r="O17" s="42" t="str">
        <x:v>Not applicable</x:v>
      </x:c>
      <x:c r="P17" s="42" t="str">
        <x:v>Not disclosed</x:v>
      </x:c>
      <x:c r="Q17" s="42" t="str">
        <x:v>Bonds</x:v>
      </x:c>
      <x:c r="R17" s="42" t="str">
        <x:v>4B02-09-50156-A-001P</x:v>
      </x:c>
      <x:c r="S17" s="42" t="str">
        <x:v>RU000A106J38</x:v>
      </x:c>
      <x:c r="T17" s="46"/>
      <x:c r="U17" s="42" t="str">
        <x:v>Not disclosed</x:v>
      </x:c>
      <x:c r="V17" s="46"/>
      <x:c r="W17" s="44"/>
      <x:c r="X17" s="42" t="str">
        <x:v>Not disclosed</x:v>
      </x:c>
      <x:c r="Y17" s="42"/>
      <x:c r="Z17" s="42"/>
      <x:c r="AA17" s="46"/>
      <x:c r="AB17" s="42" t="str">
        <x:v>Not applicable</x:v>
      </x:c>
      <x:c r="AC17" s="46"/>
      <x:c r="AD17" s="42" t="str">
        <x:v>Not disclosed</x:v>
      </x:c>
      <x:c r="AE17" s="45"/>
      <x:c r="AF17" s="45"/>
      <x:c r="AG17" s="44"/>
      <x:c r="AH17" s="42" t="str">
        <x:v>Not disclosed</x:v>
      </x:c>
      <x:c r="AI17" s="47"/>
      <x:c r="AJ17" s="47"/>
      <x:c r="AK17" s="42" t="str">
        <x:v>Not disclosed</x:v>
      </x:c>
      <x:c r="AL17" s="42" t="str">
        <x:v>Not disclosed</x:v>
      </x:c>
      <x:c r="AM17" s="42" t="str">
        <x:v>N/M: EV and aligned-currency financials are required</x:v>
      </x:c>
      <x:c r="AN17" s="42" t="str">
        <x:v>review</x:v>
      </x:c>
      <x:c r="AO17" s="42" t="n">
        <x:v>40</x:v>
      </x:c>
      <x:c r="AP17" s="42" t="str">
        <x:v>confirmed</x:v>
      </x:c>
      <x:c r="AQ17" s="42" t="n">
        <x:v>1</x:v>
      </x:c>
      <x:c r="AR17" s="42" t="str">
        <x:v>MOEX disclosure</x:v>
      </x:c>
      <x:c r="AS17" s="42" t="str">
        <x:v>https://www.moex.com/n101688</x:v>
      </x:c>
      <x:c r="AT17" s="42" t="str">
        <x:v>О порядке приобретения облигаций серии 001Р-09 ПАО "ТрансФин-М" с 02 июля 2026 год</x:v>
      </x:c>
    </x:row>
    <x:row r="18">
      <x:c r="A18" s="42" t="str">
        <x:v>DL-fbdcfe31695d48a2</x:v>
      </x:c>
      <x:c r="B18" s="44" t="n">
        <x:v>46204</x:v>
      </x:c>
      <x:c r="C18" s="42" t="str">
        <x:v>M&amp;A</x:v>
      </x:c>
      <x:c r="D18" s="42" t="str">
        <x:v>watchlist</x:v>
      </x:c>
      <x:c r="E18" s="42" t="str">
        <x:v>Reported</x:v>
      </x:c>
      <x:c r="F18" s="42" t="str">
        <x:v>Not disclosed</x:v>
      </x:c>
      <x:c r="G18" s="42" t="str">
        <x:v>Not disclosed</x:v>
      </x:c>
      <x:c r="H18" s="42" t="str">
        <x:v>Not disclosed</x:v>
      </x:c>
      <x:c r="I18" s="42" t="str">
        <x:v>Not classified</x:v>
      </x:c>
      <x:c r="J18" s="42" t="str">
        <x:v>Russia</x:v>
      </x:c>
      <x:c r="K18" s="45" t="n">
        <x:v>300000000000</x:v>
      </x:c>
      <x:c r="L18" s="45"/>
      <x:c r="M18" s="42" t="str">
        <x:v>RUB</x:v>
      </x:c>
      <x:c r="N18" s="46"/>
      <x:c r="O18" s="42" t="str">
        <x:v>Not disclosed</x:v>
      </x:c>
      <x:c r="P18" s="42" t="str">
        <x:v>Not disclosed</x:v>
      </x:c>
      <x:c r="Q18" s="42" t="str">
        <x:v>Acquisition / disposal</x:v>
      </x:c>
      <x:c r="R18" s="42" t="str">
        <x:v>Not applicable</x:v>
      </x:c>
      <x:c r="S18" s="42" t="str">
        <x:v>Not applicable</x:v>
      </x:c>
      <x:c r="T18" s="46"/>
      <x:c r="U18" s="42" t="str">
        <x:v>Not applicable</x:v>
      </x:c>
      <x:c r="V18" s="46"/>
      <x:c r="W18" s="44"/>
      <x:c r="X18" s="42" t="str">
        <x:v>Not applicable</x:v>
      </x:c>
      <x:c r="Y18" s="42"/>
      <x:c r="Z18" s="42"/>
      <x:c r="AA18" s="46"/>
      <x:c r="AB18" s="42" t="str">
        <x:v>Not applicable</x:v>
      </x:c>
      <x:c r="AC18" s="46"/>
      <x:c r="AD18" s="42" t="str">
        <x:v>Not disclosed</x:v>
      </x:c>
      <x:c r="AE18" s="45"/>
      <x:c r="AF18" s="45"/>
      <x:c r="AG18" s="44"/>
      <x:c r="AH18" s="42" t="str">
        <x:v>Not disclosed</x:v>
      </x:c>
      <x:c r="AI18" s="47"/>
      <x:c r="AJ18" s="47"/>
      <x:c r="AK18" s="42" t="str">
        <x:v>Not disclosed</x:v>
      </x:c>
      <x:c r="AL18" s="42" t="str">
        <x:v>Not disclosed</x:v>
      </x:c>
      <x:c r="AM18" s="42" t="str">
        <x:v>N/M: EV and aligned-currency financials are required</x:v>
      </x:c>
      <x:c r="AN18" s="42" t="str">
        <x:v>rejected</x:v>
      </x:c>
      <x:c r="AO18" s="42" t="n">
        <x:v>0</x:v>
      </x:c>
      <x:c r="AP18" s="42" t="str">
        <x:v>unverified</x:v>
      </x:c>
      <x:c r="AQ18" s="42" t="n">
        <x:v>4</x:v>
      </x:c>
      <x:c r="AR18" s="42" t="str">
        <x:v>prospect.com.ru</x:v>
      </x:c>
      <x:c r="AS18" s="42" t="str">
        <x:v>https://prospect.com.ru/news/6836117/vtb-poluchil-v-zalog-krupnyj-paket-aktsij-ozon-summa-sdelki-320-milliardov-rublej.html</x:v>
      </x:c>
      <x:c r="AT18" s="42" t="str">
        <x:v>ВТБ получает в залог крупный пакет акций Озона в сделке на 300,0 млрд рублей | IF | 01.07.2026 - InvestFuture</x:v>
      </x:c>
    </x:row>
    <x:row r="19">
      <x:c r="A19" s="42" t="str">
        <x:v>DL-3d3c82bb59e25b8e</x:v>
      </x:c>
      <x:c r="B19" s="44" t="n">
        <x:v>46204</x:v>
      </x:c>
      <x:c r="C19" s="42" t="str">
        <x:v>M&amp;A</x:v>
      </x:c>
      <x:c r="D19" s="42" t="str">
        <x:v>watchlist</x:v>
      </x:c>
      <x:c r="E19" s="42" t="str">
        <x:v>Reported</x:v>
      </x:c>
      <x:c r="F19" s="42" t="str">
        <x:v>Not disclosed</x:v>
      </x:c>
      <x:c r="G19" s="42" t="str">
        <x:v>Not disclosed</x:v>
      </x:c>
      <x:c r="H19" s="42" t="str">
        <x:v>Not disclosed</x:v>
      </x:c>
      <x:c r="I19" s="42" t="str">
        <x:v>Not classified</x:v>
      </x:c>
      <x:c r="J19" s="42" t="str">
        <x:v>Not disclosed</x:v>
      </x:c>
      <x:c r="K19" s="45"/>
      <x:c r="L19" s="45"/>
      <x:c r="M19" s="42" t="str">
        <x:v>Not disclosed</x:v>
      </x:c>
      <x:c r="N19" s="46"/>
      <x:c r="O19" s="42" t="str">
        <x:v>Not disclosed</x:v>
      </x:c>
      <x:c r="P19" s="42" t="str">
        <x:v>Not disclosed</x:v>
      </x:c>
      <x:c r="Q19" s="42" t="str">
        <x:v>Acquisition / disposal</x:v>
      </x:c>
      <x:c r="R19" s="42" t="str">
        <x:v>Not applicable</x:v>
      </x:c>
      <x:c r="S19" s="42" t="str">
        <x:v>Not applicable</x:v>
      </x:c>
      <x:c r="T19" s="46"/>
      <x:c r="U19" s="42" t="str">
        <x:v>Not applicable</x:v>
      </x:c>
      <x:c r="V19" s="46"/>
      <x:c r="W19" s="44"/>
      <x:c r="X19" s="42" t="str">
        <x:v>Not applicable</x:v>
      </x:c>
      <x:c r="Y19" s="42"/>
      <x:c r="Z19" s="42"/>
      <x:c r="AA19" s="46"/>
      <x:c r="AB19" s="42" t="str">
        <x:v>Not applicable</x:v>
      </x:c>
      <x:c r="AC19" s="46"/>
      <x:c r="AD19" s="42" t="str">
        <x:v>Not disclosed</x:v>
      </x:c>
      <x:c r="AE19" s="45"/>
      <x:c r="AF19" s="45"/>
      <x:c r="AG19" s="44"/>
      <x:c r="AH19" s="42" t="str">
        <x:v>Not disclosed</x:v>
      </x:c>
      <x:c r="AI19" s="47"/>
      <x:c r="AJ19" s="47"/>
      <x:c r="AK19" s="42" t="str">
        <x:v>Not disclosed</x:v>
      </x:c>
      <x:c r="AL19" s="42" t="str">
        <x:v>Not disclosed</x:v>
      </x:c>
      <x:c r="AM19" s="42" t="str">
        <x:v>N/M: EV and aligned-currency financials are required</x:v>
      </x:c>
      <x:c r="AN19" s="42" t="str">
        <x:v>rejected</x:v>
      </x:c>
      <x:c r="AO19" s="42" t="n">
        <x:v>0</x:v>
      </x:c>
      <x:c r="AP19" s="42" t="str">
        <x:v>unverified</x:v>
      </x:c>
      <x:c r="AQ19" s="42" t="n">
        <x:v>2</x:v>
      </x:c>
      <x:c r="AR19" s="42" t="str">
        <x:v>Финам</x:v>
      </x:c>
      <x:c r="AS19" s="42" t="str">
        <x:v>https://www.finam.ru/publications/item/rynok-pytaetsya-rasti-aktsii-sistemy-ostayutsya-v-liderakh-padeniya-posle-sdelki-s-vtb-20260701-1023/</x:v>
      </x:c>
      <x:c r="AT19" s="42" t="str">
        <x:v>Рынок пытается расти, акции «Системы» остаются в лидерах падения после сделки с ВТБ - Финам</x:v>
      </x:c>
    </x:row>
    <x:row r="20">
      <x:c r="A20" s="42" t="str">
        <x:v>DL-moex-101632</x:v>
      </x:c>
      <x:c r="B20" s="44" t="n">
        <x:v>46203</x:v>
      </x:c>
      <x:c r="C20" s="42" t="str">
        <x:v>DCM</x:v>
      </x:c>
      <x:c r="D20" s="42" t="str">
        <x:v>technical_filing</x:v>
      </x:c>
      <x:c r="E20" s="42" t="str">
        <x:v>Confirmed</x:v>
      </x:c>
      <x:c r="F20" s="42" t="str">
        <x:v>Not disclosed</x:v>
      </x:c>
      <x:c r="G20" s="42" t="str">
        <x:v>Not applicable</x:v>
      </x:c>
      <x:c r="H20" s="42" t="str">
        <x:v>Not applicable</x:v>
      </x:c>
      <x:c r="I20" s="42" t="str">
        <x:v>Financials</x:v>
      </x:c>
      <x:c r="J20" s="42" t="str">
        <x:v>Russia</x:v>
      </x:c>
      <x:c r="K20" s="45"/>
      <x:c r="L20" s="45"/>
      <x:c r="M20" s="42" t="str">
        <x:v>Not disclosed</x:v>
      </x:c>
      <x:c r="N20" s="46"/>
      <x:c r="O20" s="42" t="str">
        <x:v>Not applicable</x:v>
      </x:c>
      <x:c r="P20" s="42" t="str">
        <x:v>Not disclosed</x:v>
      </x:c>
      <x:c r="Q20" s="42" t="str">
        <x:v>Bonds</x:v>
      </x:c>
      <x:c r="R20" s="42" t="str">
        <x:v>Not disclosed</x:v>
      </x:c>
      <x:c r="S20" s="42" t="str">
        <x:v>Not disclosed</x:v>
      </x:c>
      <x:c r="T20" s="46"/>
      <x:c r="U20" s="42" t="str">
        <x:v>Not disclosed</x:v>
      </x:c>
      <x:c r="V20" s="46"/>
      <x:c r="W20" s="44"/>
      <x:c r="X20" s="42" t="str">
        <x:v>Not disclosed</x:v>
      </x:c>
      <x:c r="Y20" s="42"/>
      <x:c r="Z20" s="42"/>
      <x:c r="AA20" s="46"/>
      <x:c r="AB20" s="42" t="str">
        <x:v>Not applicable</x:v>
      </x:c>
      <x:c r="AC20" s="46"/>
      <x:c r="AD20" s="42" t="str">
        <x:v>Not disclosed</x:v>
      </x:c>
      <x:c r="AE20" s="45"/>
      <x:c r="AF20" s="45"/>
      <x:c r="AG20" s="44"/>
      <x:c r="AH20" s="42" t="str">
        <x:v>Not disclosed</x:v>
      </x:c>
      <x:c r="AI20" s="47"/>
      <x:c r="AJ20" s="47"/>
      <x:c r="AK20" s="42" t="str">
        <x:v>Not disclosed</x:v>
      </x:c>
      <x:c r="AL20" s="42" t="str">
        <x:v>Not disclosed</x:v>
      </x:c>
      <x:c r="AM20" s="42" t="str">
        <x:v>N/M: EV and aligned-currency financials are required</x:v>
      </x:c>
      <x:c r="AN20" s="42" t="str">
        <x:v>review</x:v>
      </x:c>
      <x:c r="AO20" s="42" t="n">
        <x:v>40</x:v>
      </x:c>
      <x:c r="AP20" s="42" t="str">
        <x:v>confirmed</x:v>
      </x:c>
      <x:c r="AQ20" s="42" t="n">
        <x:v>1</x:v>
      </x:c>
      <x:c r="AR20" s="42" t="str">
        <x:v>MOEX disclosure</x:v>
      </x:c>
      <x:c r="AS20" s="42" t="str">
        <x:v>https://www.moex.com/n101632</x:v>
      </x:c>
      <x:c r="AT20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21">
      <x:c r="A21" s="42" t="str">
        <x:v>DL-moex-101636</x:v>
      </x:c>
      <x:c r="B21" s="44" t="n">
        <x:v>46203</x:v>
      </x:c>
      <x:c r="C21" s="42" t="str">
        <x:v>DCM</x:v>
      </x:c>
      <x:c r="D21" s="42" t="str">
        <x:v>technical_filing</x:v>
      </x:c>
      <x:c r="E21" s="42" t="str">
        <x:v>Confirmed</x:v>
      </x:c>
      <x:c r="F21" s="42" t="str">
        <x:v>Not disclosed</x:v>
      </x:c>
      <x:c r="G21" s="42" t="str">
        <x:v>Not applicable</x:v>
      </x:c>
      <x:c r="H21" s="42" t="str">
        <x:v>Not applicable</x:v>
      </x:c>
      <x:c r="I21" s="42" t="str">
        <x:v>Financials</x:v>
      </x:c>
      <x:c r="J21" s="42" t="str">
        <x:v>Russia</x:v>
      </x:c>
      <x:c r="K21" s="45"/>
      <x:c r="L21" s="45"/>
      <x:c r="M21" s="42" t="str">
        <x:v>Not disclosed</x:v>
      </x:c>
      <x:c r="N21" s="46"/>
      <x:c r="O21" s="42" t="str">
        <x:v>Not applicable</x:v>
      </x:c>
      <x:c r="P21" s="42" t="str">
        <x:v>Not disclosed</x:v>
      </x:c>
      <x:c r="Q21" s="42" t="str">
        <x:v>Bonds</x:v>
      </x:c>
      <x:c r="R21" s="42" t="str">
        <x:v>26251RMFS</x:v>
      </x:c>
      <x:c r="S21" s="42" t="str">
        <x:v>SU26251RMFS7</x:v>
      </x:c>
      <x:c r="T21" s="46"/>
      <x:c r="U21" s="42" t="str">
        <x:v>Not disclosed</x:v>
      </x:c>
      <x:c r="V21" s="46"/>
      <x:c r="W21" s="44"/>
      <x:c r="X21" s="42" t="str">
        <x:v>Not disclosed</x:v>
      </x:c>
      <x:c r="Y21" s="42"/>
      <x:c r="Z21" s="42"/>
      <x:c r="AA21" s="46"/>
      <x:c r="AB21" s="42" t="str">
        <x:v>Not applicable</x:v>
      </x:c>
      <x:c r="AC21" s="46"/>
      <x:c r="AD21" s="42" t="str">
        <x:v>Not disclosed</x:v>
      </x:c>
      <x:c r="AE21" s="45"/>
      <x:c r="AF21" s="45"/>
      <x:c r="AG21" s="44"/>
      <x:c r="AH21" s="42" t="str">
        <x:v>Not disclosed</x:v>
      </x:c>
      <x:c r="AI21" s="47"/>
      <x:c r="AJ21" s="47"/>
      <x:c r="AK21" s="42" t="str">
        <x:v>Not disclosed</x:v>
      </x:c>
      <x:c r="AL21" s="42" t="str">
        <x:v>Not disclosed</x:v>
      </x:c>
      <x:c r="AM21" s="42" t="str">
        <x:v>N/M: EV and aligned-currency financials are required</x:v>
      </x:c>
      <x:c r="AN21" s="42" t="str">
        <x:v>review</x:v>
      </x:c>
      <x:c r="AO21" s="42" t="n">
        <x:v>40</x:v>
      </x:c>
      <x:c r="AP21" s="42" t="str">
        <x:v>confirmed</x:v>
      </x:c>
      <x:c r="AQ21" s="42" t="n">
        <x:v>1</x:v>
      </x:c>
      <x:c r="AR21" s="42" t="str">
        <x:v>MOEX disclosure</x:v>
      </x:c>
      <x:c r="AS21" s="42" t="str">
        <x:v>https://www.moex.com/n101636</x:v>
      </x:c>
      <x:c r="AT21" s="42" t="str">
        <x:v>О проведении 01 июля 2026 года аукциона по размещению ОФЗ выпусков № 26251RMFS</x:v>
      </x:c>
    </x:row>
    <x:row r="22">
      <x:c r="A22" s="42" t="str">
        <x:v>DL-moex-101641</x:v>
      </x:c>
      <x:c r="B22" s="44" t="n">
        <x:v>46203</x:v>
      </x:c>
      <x:c r="C22" s="42" t="str">
        <x:v>DCM</x:v>
      </x:c>
      <x:c r="D22" s="42" t="str">
        <x:v>technical_filing</x:v>
      </x:c>
      <x:c r="E22" s="42" t="str">
        <x:v>Confirmed</x:v>
      </x:c>
      <x:c r="F22" s="42" t="str">
        <x:v>Not disclosed</x:v>
      </x:c>
      <x:c r="G22" s="42" t="str">
        <x:v>Not applicable</x:v>
      </x:c>
      <x:c r="H22" s="42" t="str">
        <x:v>Not applicable</x:v>
      </x:c>
      <x:c r="I22" s="42" t="str">
        <x:v>Financials</x:v>
      </x:c>
      <x:c r="J22" s="42" t="str">
        <x:v>Russia</x:v>
      </x:c>
      <x:c r="K22" s="45"/>
      <x:c r="L22" s="45"/>
      <x:c r="M22" s="42" t="str">
        <x:v>Not disclosed</x:v>
      </x:c>
      <x:c r="N22" s="46"/>
      <x:c r="O22" s="42" t="str">
        <x:v>Not applicable</x:v>
      </x:c>
      <x:c r="P22" s="42" t="str">
        <x:v>Not disclosed</x:v>
      </x:c>
      <x:c r="Q22" s="42" t="str">
        <x:v>Bonds</x:v>
      </x:c>
      <x:c r="R22" s="42" t="str">
        <x:v>4B02-05-00354-B-006P</x:v>
      </x:c>
      <x:c r="S22" s="42" t="str">
        <x:v>RU000A10EH76</x:v>
      </x:c>
      <x:c r="T22" s="46"/>
      <x:c r="U22" s="42" t="str">
        <x:v>Not disclosed</x:v>
      </x:c>
      <x:c r="V22" s="46"/>
      <x:c r="W22" s="44"/>
      <x:c r="X22" s="42" t="str">
        <x:v>Not disclosed</x:v>
      </x:c>
      <x:c r="Y22" s="42"/>
      <x:c r="Z22" s="42"/>
      <x:c r="AA22" s="46"/>
      <x:c r="AB22" s="42" t="str">
        <x:v>Not applicable</x:v>
      </x:c>
      <x:c r="AC22" s="46"/>
      <x:c r="AD22" s="42" t="str">
        <x:v>Not disclosed</x:v>
      </x:c>
      <x:c r="AE22" s="45"/>
      <x:c r="AF22" s="45"/>
      <x:c r="AG22" s="44"/>
      <x:c r="AH22" s="42" t="str">
        <x:v>Not disclosed</x:v>
      </x:c>
      <x:c r="AI22" s="47"/>
      <x:c r="AJ22" s="47"/>
      <x:c r="AK22" s="42" t="str">
        <x:v>Not disclosed</x:v>
      </x:c>
      <x:c r="AL22" s="42" t="str">
        <x:v>Not disclosed</x:v>
      </x:c>
      <x:c r="AM22" s="42" t="str">
        <x:v>N/M: EV and aligned-currency financials are required</x:v>
      </x:c>
      <x:c r="AN22" s="42" t="str">
        <x:v>review</x:v>
      </x:c>
      <x:c r="AO22" s="42" t="n">
        <x:v>40</x:v>
      </x:c>
      <x:c r="AP22" s="42" t="str">
        <x:v>confirmed</x:v>
      </x:c>
      <x:c r="AQ22" s="42" t="n">
        <x:v>1</x:v>
      </x:c>
      <x:c r="AR22" s="42" t="str">
        <x:v>MOEX disclosure</x:v>
      </x:c>
      <x:c r="AS22" s="42" t="str">
        <x:v>https://www.moex.com/n101641</x:v>
      </x:c>
      <x:c r="AT22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23">
      <x:c r="A23" s="42" t="str">
        <x:v>DL-moex-101644</x:v>
      </x:c>
      <x:c r="B23" s="44" t="n">
        <x:v>46203</x:v>
      </x:c>
      <x:c r="C23" s="42" t="str">
        <x:v>DCM</x:v>
      </x:c>
      <x:c r="D23" s="42" t="str">
        <x:v>technical_filing</x:v>
      </x:c>
      <x:c r="E23" s="42" t="str">
        <x:v>Confirmed</x:v>
      </x:c>
      <x:c r="F23" s="42" t="str">
        <x:v>Not disclosed</x:v>
      </x:c>
      <x:c r="G23" s="42" t="str">
        <x:v>Not applicable</x:v>
      </x:c>
      <x:c r="H23" s="42" t="str">
        <x:v>Not applicable</x:v>
      </x:c>
      <x:c r="I23" s="42" t="str">
        <x:v>Financials</x:v>
      </x:c>
      <x:c r="J23" s="42" t="str">
        <x:v>Russia</x:v>
      </x:c>
      <x:c r="K23" s="45" t="n">
        <x:v>8520970000</x:v>
      </x:c>
      <x:c r="L23" s="45"/>
      <x:c r="M23" s="42" t="str">
        <x:v>RUB</x:v>
      </x:c>
      <x:c r="N23" s="46"/>
      <x:c r="O23" s="42" t="str">
        <x:v>Not applicable</x:v>
      </x:c>
      <x:c r="P23" s="42" t="str">
        <x:v>Not disclosed</x:v>
      </x:c>
      <x:c r="Q23" s="42" t="str">
        <x:v>Bonds</x:v>
      </x:c>
      <x:c r="R23" s="42" t="str">
        <x:v>4B02-1232-01000-B-005P</x:v>
      </x:c>
      <x:c r="S23" s="42" t="str">
        <x:v>Not disclosed</x:v>
      </x:c>
      <x:c r="T23" s="46"/>
      <x:c r="U23" s="42" t="str">
        <x:v>Not disclosed</x:v>
      </x:c>
      <x:c r="V23" s="46"/>
      <x:c r="W23" s="44"/>
      <x:c r="X23" s="42" t="str">
        <x:v>Not disclosed</x:v>
      </x:c>
      <x:c r="Y23" s="42" t="n">
        <x:v>999.627</x:v>
      </x:c>
      <x:c r="Z23" s="42"/>
      <x:c r="AA23" s="46"/>
      <x:c r="AB23" s="42" t="str">
        <x:v>Not applicable</x:v>
      </x:c>
      <x:c r="AC23" s="46"/>
      <x:c r="AD23" s="42" t="str">
        <x:v>Not disclosed</x:v>
      </x:c>
      <x:c r="AE23" s="45"/>
      <x:c r="AF23" s="45"/>
      <x:c r="AG23" s="44"/>
      <x:c r="AH23" s="42" t="str">
        <x:v>Not disclosed</x:v>
      </x:c>
      <x:c r="AI23" s="47"/>
      <x:c r="AJ23" s="47"/>
      <x:c r="AK23" s="42" t="str">
        <x:v>Not disclosed</x:v>
      </x:c>
      <x:c r="AL23" s="42" t="str">
        <x:v>Not disclosed</x:v>
      </x:c>
      <x:c r="AM23" s="42" t="str">
        <x:v>N/M: EV and aligned-currency financials are required</x:v>
      </x:c>
      <x:c r="AN23" s="42" t="str">
        <x:v>review</x:v>
      </x:c>
      <x:c r="AO23" s="42" t="n">
        <x:v>40</x:v>
      </x:c>
      <x:c r="AP23" s="42" t="str">
        <x:v>confirmed</x:v>
      </x:c>
      <x:c r="AQ23" s="42" t="n">
        <x:v>1</x:v>
      </x:c>
      <x:c r="AR23" s="42" t="str">
        <x:v>MOEX disclosure</x:v>
      </x:c>
      <x:c r="AS23" s="42" t="str">
        <x:v>https://www.moex.com/n101644</x:v>
      </x:c>
      <x:c r="AT23" s="42" t="str">
        <x:v>Итоги выпуска биржевых облигаций</x:v>
      </x:c>
    </x:row>
    <x:row r="24">
      <x:c r="A24" s="42" t="str">
        <x:v>DL-98cc1ca454b70046</x:v>
      </x:c>
      <x:c r="B24" s="44" t="n">
        <x:v>46203</x:v>
      </x:c>
      <x:c r="C24" s="42" t="str">
        <x:v>M&amp;A</x:v>
      </x:c>
      <x:c r="D24" s="42" t="str">
        <x:v>watchlist</x:v>
      </x:c>
      <x:c r="E24" s="42" t="str">
        <x:v>Reported</x:v>
      </x:c>
      <x:c r="F24" s="42" t="str">
        <x:v>Not disclosed</x:v>
      </x:c>
      <x:c r="G24" s="42" t="str">
        <x:v>Not disclosed</x:v>
      </x:c>
      <x:c r="H24" s="42" t="str">
        <x:v>Not disclosed</x:v>
      </x:c>
      <x:c r="I24" s="42" t="str">
        <x:v>Not classified</x:v>
      </x:c>
      <x:c r="J24" s="42" t="str">
        <x:v>Not disclosed</x:v>
      </x:c>
      <x:c r="K24" s="45"/>
      <x:c r="L24" s="45"/>
      <x:c r="M24" s="42" t="str">
        <x:v>Not disclosed</x:v>
      </x:c>
      <x:c r="N24" s="46"/>
      <x:c r="O24" s="42" t="str">
        <x:v>Not disclosed</x:v>
      </x:c>
      <x:c r="P24" s="42" t="str">
        <x:v>Not disclosed</x:v>
      </x:c>
      <x:c r="Q24" s="42" t="str">
        <x:v>Acquisition / disposal</x:v>
      </x:c>
      <x:c r="R24" s="42" t="str">
        <x:v>Not applicable</x:v>
      </x:c>
      <x:c r="S24" s="42" t="str">
        <x:v>Not applicable</x:v>
      </x:c>
      <x:c r="T24" s="46"/>
      <x:c r="U24" s="42" t="str">
        <x:v>Not applicable</x:v>
      </x:c>
      <x:c r="V24" s="46"/>
      <x:c r="W24" s="44"/>
      <x:c r="X24" s="42" t="str">
        <x:v>Not applicable</x:v>
      </x:c>
      <x:c r="Y24" s="42"/>
      <x:c r="Z24" s="42"/>
      <x:c r="AA24" s="46"/>
      <x:c r="AB24" s="42" t="str">
        <x:v>Not applicable</x:v>
      </x:c>
      <x:c r="AC24" s="46"/>
      <x:c r="AD24" s="42" t="str">
        <x:v>Not disclosed</x:v>
      </x:c>
      <x:c r="AE24" s="45"/>
      <x:c r="AF24" s="45"/>
      <x:c r="AG24" s="44"/>
      <x:c r="AH24" s="42" t="str">
        <x:v>Not disclosed</x:v>
      </x:c>
      <x:c r="AI24" s="47"/>
      <x:c r="AJ24" s="47"/>
      <x:c r="AK24" s="42" t="str">
        <x:v>Not disclosed</x:v>
      </x:c>
      <x:c r="AL24" s="42" t="str">
        <x:v>Not disclosed</x:v>
      </x:c>
      <x:c r="AM24" s="42" t="str">
        <x:v>N/M: EV and aligned-currency financials are required</x:v>
      </x:c>
      <x:c r="AN24" s="42" t="str">
        <x:v>rejected</x:v>
      </x:c>
      <x:c r="AO24" s="42" t="n">
        <x:v>0</x:v>
      </x:c>
      <x:c r="AP24" s="42" t="str">
        <x:v>unverified</x:v>
      </x:c>
      <x:c r="AQ24" s="42" t="n">
        <x:v>2</x:v>
      </x:c>
      <x:c r="AR24" s="42" t="str">
        <x:v>БКС Экспресс</x:v>
      </x:c>
      <x:c r="AS24" s="42" t="str">
        <x:v>https://bcs-express.ru/profit/post/c04797af-4e2e-4910-8d54-2d182d38008c</x:v>
      </x:c>
      <x:c r="AT24" s="42" t="str">
        <x:v>☄️АФК Система намерена в ближайшее время заключить финансовую сделку на — идея в Профите по AFKS, OZON - БКС Экспресс</x:v>
      </x:c>
    </x:row>
    <x:row r="25">
      <x:c r="A25" s="42" t="str">
        <x:v>DL-e230736ec0b08733</x:v>
      </x:c>
      <x:c r="B25" s="44" t="n">
        <x:v>46203</x:v>
      </x:c>
      <x:c r="C25" s="42" t="str">
        <x:v>DCM</x:v>
      </x:c>
      <x:c r="D25" s="42" t="str">
        <x:v>watchlist</x:v>
      </x:c>
      <x:c r="E25" s="42" t="str">
        <x:v>Reported</x:v>
      </x:c>
      <x:c r="F25" s="42" t="str">
        <x:v>Yandex</x:v>
      </x:c>
      <x:c r="G25" s="42" t="str">
        <x:v>Not applicable</x:v>
      </x:c>
      <x:c r="H25" s="42" t="str">
        <x:v>Not applicable</x:v>
      </x:c>
      <x:c r="I25" s="42" t="str">
        <x:v>Financials</x:v>
      </x:c>
      <x:c r="J25" s="42" t="str">
        <x:v>Not disclosed</x:v>
      </x:c>
      <x:c r="K25" s="45"/>
      <x:c r="L25" s="45"/>
      <x:c r="M25" s="42" t="str">
        <x:v>Not disclosed</x:v>
      </x:c>
      <x:c r="N25" s="46"/>
      <x:c r="O25" s="42" t="str">
        <x:v>Not applicable</x:v>
      </x:c>
      <x:c r="P25" s="42" t="str">
        <x:v>Not disclosed</x:v>
      </x:c>
      <x:c r="Q25" s="42" t="str">
        <x:v>Bonds</x:v>
      </x:c>
      <x:c r="R25" s="42" t="str">
        <x:v>Not disclosed</x:v>
      </x:c>
      <x:c r="S25" s="42" t="str">
        <x:v>Not disclosed</x:v>
      </x:c>
      <x:c r="T25" s="46"/>
      <x:c r="U25" s="42" t="str">
        <x:v>Not disclosed</x:v>
      </x:c>
      <x:c r="V25" s="46"/>
      <x:c r="W25" s="44"/>
      <x:c r="X25" s="42" t="str">
        <x:v>Not disclosed</x:v>
      </x:c>
      <x:c r="Y25" s="42"/>
      <x:c r="Z25" s="42"/>
      <x:c r="AA25" s="46"/>
      <x:c r="AB25" s="42" t="str">
        <x:v>Not applicable</x:v>
      </x:c>
      <x:c r="AC25" s="46"/>
      <x:c r="AD25" s="42" t="str">
        <x:v>Not disclosed</x:v>
      </x:c>
      <x:c r="AE25" s="45"/>
      <x:c r="AF25" s="45"/>
      <x:c r="AG25" s="44"/>
      <x:c r="AH25" s="42" t="str">
        <x:v>Not disclosed</x:v>
      </x:c>
      <x:c r="AI25" s="47"/>
      <x:c r="AJ25" s="47"/>
      <x:c r="AK25" s="42" t="str">
        <x:v>Not disclosed</x:v>
      </x:c>
      <x:c r="AL25" s="42" t="str">
        <x:v>Not disclosed</x:v>
      </x:c>
      <x:c r="AM25" s="42" t="str">
        <x:v>N/M: EV and aligned-currency financials are required</x:v>
      </x:c>
      <x:c r="AN25" s="42" t="str">
        <x:v>review</x:v>
      </x:c>
      <x:c r="AO25" s="42" t="n">
        <x:v>75</x:v>
      </x:c>
      <x:c r="AP25" s="42" t="str">
        <x:v>unverified</x:v>
      </x:c>
      <x:c r="AQ25" s="42" t="n">
        <x:v>1</x:v>
      </x:c>
      <x:c r="AR25" s="42" t="str">
        <x:v>Traders Union</x:v>
      </x:c>
      <x:c r="AS25" s="42" t="str">
        <x:v>https://tradersunion.com/ru/news/institutions/show/2532310-moscow-exchange-sberbank-bonds-ios-ydex/</x:v>
      </x:c>
      <x:c r="AT25" s="42" t="str">
        <x:v>Московская биржа установила порядок размещения облигаций Сбербанка серии ИОС-YDEX-BNR-1Y-001Р-808R - Traders Union</x:v>
      </x:c>
    </x:row>
    <x:row r="26">
      <x:c r="A26" s="42" t="str">
        <x:v>DL-c76896181d89cde6</x:v>
      </x:c>
      <x:c r="B26" s="44" t="n">
        <x:v>46203</x:v>
      </x:c>
      <x:c r="C26" s="42" t="str">
        <x:v>DCM</x:v>
      </x:c>
      <x:c r="D26" s="42" t="str">
        <x:v>watchlist</x:v>
      </x:c>
      <x:c r="E26" s="42" t="str">
        <x:v>Closed</x:v>
      </x:c>
      <x:c r="F26" s="42" t="str">
        <x:v>ВУШ завершил первый этап размещения облигаций</x:v>
      </x:c>
      <x:c r="G26" s="42" t="str">
        <x:v>Not applicable</x:v>
      </x:c>
      <x:c r="H26" s="42" t="str">
        <x:v>Not applicable</x:v>
      </x:c>
      <x:c r="I26" s="42" t="str">
        <x:v>Not classified</x:v>
      </x:c>
      <x:c r="J26" s="42" t="str">
        <x:v>Not disclosed</x:v>
      </x:c>
      <x:c r="K26" s="45"/>
      <x:c r="L26" s="45"/>
      <x:c r="M26" s="42" t="str">
        <x:v>Not disclosed</x:v>
      </x:c>
      <x:c r="N26" s="46"/>
      <x:c r="O26" s="42" t="str">
        <x:v>Not applicable</x:v>
      </x:c>
      <x:c r="P26" s="42" t="str">
        <x:v>Not disclosed</x:v>
      </x:c>
      <x:c r="Q26" s="42" t="str">
        <x:v>Bonds</x:v>
      </x:c>
      <x:c r="R26" s="42" t="str">
        <x:v>Not disclosed</x:v>
      </x:c>
      <x:c r="S26" s="42" t="str">
        <x:v>Not disclosed</x:v>
      </x:c>
      <x:c r="T26" s="46"/>
      <x:c r="U26" s="42" t="str">
        <x:v>Not disclosed</x:v>
      </x:c>
      <x:c r="V26" s="46"/>
      <x:c r="W26" s="44"/>
      <x:c r="X26" s="42" t="str">
        <x:v>Not disclosed</x:v>
      </x:c>
      <x:c r="Y26" s="42"/>
      <x:c r="Z26" s="42"/>
      <x:c r="AA26" s="46"/>
      <x:c r="AB26" s="42" t="str">
        <x:v>Not applicable</x:v>
      </x:c>
      <x:c r="AC26" s="46"/>
      <x:c r="AD26" s="42" t="str">
        <x:v>Not disclosed</x:v>
      </x:c>
      <x:c r="AE26" s="45"/>
      <x:c r="AF26" s="45"/>
      <x:c r="AG26" s="44"/>
      <x:c r="AH26" s="42" t="str">
        <x:v>Not disclosed</x:v>
      </x:c>
      <x:c r="AI26" s="47"/>
      <x:c r="AJ26" s="47"/>
      <x:c r="AK26" s="42" t="str">
        <x:v>Not disclosed</x:v>
      </x:c>
      <x:c r="AL26" s="42" t="str">
        <x:v>Not disclosed</x:v>
      </x:c>
      <x:c r="AM26" s="42" t="str">
        <x:v>N/M: EV and aligned-currency financials are required</x:v>
      </x:c>
      <x:c r="AN26" s="42" t="str">
        <x:v>review</x:v>
      </x:c>
      <x:c r="AO26" s="42" t="n">
        <x:v>75</x:v>
      </x:c>
      <x:c r="AP26" s="42" t="str">
        <x:v>unverified</x:v>
      </x:c>
      <x:c r="AQ26" s="42" t="n">
        <x:v>2</x:v>
      </x:c>
      <x:c r="AR26" s="42" t="str">
        <x:v>БКС Экспресс</x:v>
      </x:c>
      <x:c r="AS26" s="42" t="str">
        <x:v>https://bcs-express.ru/novosti-i-analitika/vush-zavershil-pervyi-etap-razmeshcheniia-obligatsii</x:v>
      </x:c>
      <x:c r="AT26" s="42" t="str">
        <x:v>ВУШ завершил первый этап размещения облигаций - БКС Экспресс</x:v>
      </x:c>
    </x:row>
    <x:row r="27">
      <x:c r="A27" s="42" t="str">
        <x:v>DL-moex-101536</x:v>
      </x:c>
      <x:c r="B27" s="44" t="n">
        <x:v>46202</x:v>
      </x:c>
      <x:c r="C27" s="42" t="str">
        <x:v>DCM</x:v>
      </x:c>
      <x:c r="D27" s="42" t="str">
        <x:v>technical_filing</x:v>
      </x:c>
      <x:c r="E27" s="42" t="str">
        <x:v>Confirmed</x:v>
      </x:c>
      <x:c r="F27" s="42" t="str">
        <x:v>Not disclosed</x:v>
      </x:c>
      <x:c r="G27" s="42" t="str">
        <x:v>Not applicable</x:v>
      </x:c>
      <x:c r="H27" s="42" t="str">
        <x:v>Not applicable</x:v>
      </x:c>
      <x:c r="I27" s="42" t="str">
        <x:v>Financials</x:v>
      </x:c>
      <x:c r="J27" s="42" t="str">
        <x:v>Russia</x:v>
      </x:c>
      <x:c r="K27" s="45" t="n">
        <x:v>3930247000</x:v>
      </x:c>
      <x:c r="L27" s="45"/>
      <x:c r="M27" s="42" t="str">
        <x:v>RUB</x:v>
      </x:c>
      <x:c r="N27" s="46"/>
      <x:c r="O27" s="42" t="str">
        <x:v>Not applicable</x:v>
      </x:c>
      <x:c r="P27" s="42" t="str">
        <x:v>Not disclosed</x:v>
      </x:c>
      <x:c r="Q27" s="42" t="str">
        <x:v>Bonds</x:v>
      </x:c>
      <x:c r="R27" s="42" t="str">
        <x:v>4B02-05-00354-B-006P</x:v>
      </x:c>
      <x:c r="S27" s="42" t="str">
        <x:v>Not disclosed</x:v>
      </x:c>
      <x:c r="T27" s="46"/>
      <x:c r="U27" s="42" t="str">
        <x:v>Not disclosed</x:v>
      </x:c>
      <x:c r="V27" s="46"/>
      <x:c r="W27" s="44"/>
      <x:c r="X27" s="42" t="str">
        <x:v>Not disclosed</x:v>
      </x:c>
      <x:c r="Y27" s="42" t="n">
        <x:v>560</x:v>
      </x:c>
      <x:c r="Z27" s="42"/>
      <x:c r="AA27" s="46"/>
      <x:c r="AB27" s="42" t="str">
        <x:v>Not applicable</x:v>
      </x:c>
      <x:c r="AC27" s="46"/>
      <x:c r="AD27" s="42" t="str">
        <x:v>Not disclosed</x:v>
      </x:c>
      <x:c r="AE27" s="45"/>
      <x:c r="AF27" s="45"/>
      <x:c r="AG27" s="44"/>
      <x:c r="AH27" s="42" t="str">
        <x:v>Not disclosed</x:v>
      </x:c>
      <x:c r="AI27" s="47"/>
      <x:c r="AJ27" s="47"/>
      <x:c r="AK27" s="42" t="str">
        <x:v>Not disclosed</x:v>
      </x:c>
      <x:c r="AL27" s="42" t="str">
        <x:v>Not disclosed</x:v>
      </x:c>
      <x:c r="AM27" s="42" t="str">
        <x:v>N/M: EV and aligned-currency financials are required</x:v>
      </x:c>
      <x:c r="AN27" s="42" t="str">
        <x:v>review</x:v>
      </x:c>
      <x:c r="AO27" s="42" t="n">
        <x:v>40</x:v>
      </x:c>
      <x:c r="AP27" s="42" t="str">
        <x:v>confirmed</x:v>
      </x:c>
      <x:c r="AQ27" s="42" t="n">
        <x:v>1</x:v>
      </x:c>
      <x:c r="AR27" s="42" t="str">
        <x:v>MOEX disclosure</x:v>
      </x:c>
      <x:c r="AS27" s="42" t="str">
        <x:v>https://www.moex.com/n101536</x:v>
      </x:c>
      <x:c r="AT27" s="42" t="str">
        <x:v>Итоги выпуска биржевых облигаций</x:v>
      </x:c>
    </x:row>
    <x:row r="28">
      <x:c r="A28" s="42" t="str">
        <x:v>DL-moex-101565</x:v>
      </x:c>
      <x:c r="B28" s="44" t="n">
        <x:v>46202</x:v>
      </x:c>
      <x:c r="C28" s="42" t="str">
        <x:v>DCM</x:v>
      </x:c>
      <x:c r="D28" s="42" t="str">
        <x:v>technical_filing</x:v>
      </x:c>
      <x:c r="E28" s="42" t="str">
        <x:v>Confirmed</x:v>
      </x:c>
      <x:c r="F28" s="42" t="str">
        <x:v>Not disclosed</x:v>
      </x:c>
      <x:c r="G28" s="42" t="str">
        <x:v>Not applicable</x:v>
      </x:c>
      <x:c r="H28" s="42" t="str">
        <x:v>Not applicable</x:v>
      </x:c>
      <x:c r="I28" s="42" t="str">
        <x:v>Not classified</x:v>
      </x:c>
      <x:c r="J28" s="42" t="str">
        <x:v>Russia</x:v>
      </x:c>
      <x:c r="K28" s="45"/>
      <x:c r="L28" s="45"/>
      <x:c r="M28" s="42" t="str">
        <x:v>Not disclosed</x:v>
      </x:c>
      <x:c r="N28" s="46"/>
      <x:c r="O28" s="42" t="str">
        <x:v>Not applicable</x:v>
      </x:c>
      <x:c r="P28" s="42" t="str">
        <x:v>Not disclosed</x:v>
      </x:c>
      <x:c r="Q28" s="42" t="str">
        <x:v>Bonds</x:v>
      </x:c>
      <x:c r="R28" s="42" t="str">
        <x:v>4B02-03-00265-L-001P</x:v>
      </x:c>
      <x:c r="S28" s="42" t="str">
        <x:v>Not disclosed</x:v>
      </x:c>
      <x:c r="T28" s="46"/>
      <x:c r="U28" s="42" t="str">
        <x:v>Not disclosed</x:v>
      </x:c>
      <x:c r="V28" s="46"/>
      <x:c r="W28" s="44"/>
      <x:c r="X28" s="42" t="str">
        <x:v>Not disclosed</x:v>
      </x:c>
      <x:c r="Y28" s="42"/>
      <x:c r="Z28" s="42"/>
      <x:c r="AA28" s="46"/>
      <x:c r="AB28" s="42" t="str">
        <x:v>Not applicable</x:v>
      </x:c>
      <x:c r="AC28" s="46"/>
      <x:c r="AD28" s="42" t="str">
        <x:v>Not disclosed</x:v>
      </x:c>
      <x:c r="AE28" s="45"/>
      <x:c r="AF28" s="45"/>
      <x:c r="AG28" s="44"/>
      <x:c r="AH28" s="42" t="str">
        <x:v>Not disclosed</x:v>
      </x:c>
      <x:c r="AI28" s="47"/>
      <x:c r="AJ28" s="47"/>
      <x:c r="AK28" s="42" t="str">
        <x:v>Not disclosed</x:v>
      </x:c>
      <x:c r="AL28" s="42" t="str">
        <x:v>Not disclosed</x:v>
      </x:c>
      <x:c r="AM28" s="42" t="str">
        <x:v>N/M: EV and aligned-currency financials are required</x:v>
      </x:c>
      <x:c r="AN28" s="42" t="str">
        <x:v>review</x:v>
      </x:c>
      <x:c r="AO28" s="42" t="n">
        <x:v>40</x:v>
      </x:c>
      <x:c r="AP28" s="42" t="str">
        <x:v>confirmed</x:v>
      </x:c>
      <x:c r="AQ28" s="42" t="n">
        <x:v>1</x:v>
      </x:c>
      <x:c r="AR28" s="42" t="str">
        <x:v>MOEX disclosure</x:v>
      </x:c>
      <x:c r="AS28" s="42" t="str">
        <x:v>https://www.moex.com/n101565</x:v>
      </x:c>
      <x:c r="AT2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29">
      <x:c r="A29" s="42" t="str">
        <x:v>DL-moex-101562</x:v>
      </x:c>
      <x:c r="B29" s="44" t="n">
        <x:v>46202</x:v>
      </x:c>
      <x:c r="C29" s="42" t="str">
        <x:v>DCM</x:v>
      </x:c>
      <x:c r="D29" s="42" t="str">
        <x:v>technical_filing</x:v>
      </x:c>
      <x:c r="E29" s="42" t="str">
        <x:v>Confirmed</x:v>
      </x:c>
      <x:c r="F29" s="42" t="str">
        <x:v>Not disclosed</x:v>
      </x:c>
      <x:c r="G29" s="42" t="str">
        <x:v>Not applicable</x:v>
      </x:c>
      <x:c r="H29" s="42" t="str">
        <x:v>Not applicable</x:v>
      </x:c>
      <x:c r="I29" s="42" t="str">
        <x:v>Not classified</x:v>
      </x:c>
      <x:c r="J29" s="42" t="str">
        <x:v>Russia</x:v>
      </x:c>
      <x:c r="K29" s="45"/>
      <x:c r="L29" s="45"/>
      <x:c r="M29" s="42" t="str">
        <x:v>Not disclosed</x:v>
      </x:c>
      <x:c r="N29" s="46"/>
      <x:c r="O29" s="42" t="str">
        <x:v>Not applicable</x:v>
      </x:c>
      <x:c r="P29" s="42" t="str">
        <x:v>Not disclosed</x:v>
      </x:c>
      <x:c r="Q29" s="42" t="str">
        <x:v>Bonds</x:v>
      </x:c>
      <x:c r="R29" s="42" t="str">
        <x:v>4B02-01-00609-R-001P</x:v>
      </x:c>
      <x:c r="S29" s="42" t="str">
        <x:v>Not disclosed</x:v>
      </x:c>
      <x:c r="T29" s="46"/>
      <x:c r="U29" s="42" t="str">
        <x:v>Not disclosed</x:v>
      </x:c>
      <x:c r="V29" s="46"/>
      <x:c r="W29" s="44"/>
      <x:c r="X29" s="42" t="str">
        <x:v>Not disclosed</x:v>
      </x:c>
      <x:c r="Y29" s="42"/>
      <x:c r="Z29" s="42"/>
      <x:c r="AA29" s="46"/>
      <x:c r="AB29" s="42" t="str">
        <x:v>Not applicable</x:v>
      </x:c>
      <x:c r="AC29" s="46"/>
      <x:c r="AD29" s="42" t="str">
        <x:v>Not disclosed</x:v>
      </x:c>
      <x:c r="AE29" s="45"/>
      <x:c r="AF29" s="45"/>
      <x:c r="AG29" s="44"/>
      <x:c r="AH29" s="42" t="str">
        <x:v>Not disclosed</x:v>
      </x:c>
      <x:c r="AI29" s="47"/>
      <x:c r="AJ29" s="47"/>
      <x:c r="AK29" s="42" t="str">
        <x:v>Not disclosed</x:v>
      </x:c>
      <x:c r="AL29" s="42" t="str">
        <x:v>Not disclosed</x:v>
      </x:c>
      <x:c r="AM29" s="42" t="str">
        <x:v>N/M: EV and aligned-currency financials are required</x:v>
      </x:c>
      <x:c r="AN29" s="42" t="str">
        <x:v>review</x:v>
      </x:c>
      <x:c r="AO29" s="42" t="n">
        <x:v>40</x:v>
      </x:c>
      <x:c r="AP29" s="42" t="str">
        <x:v>confirmed</x:v>
      </x:c>
      <x:c r="AQ29" s="42" t="n">
        <x:v>1</x:v>
      </x:c>
      <x:c r="AR29" s="42" t="str">
        <x:v>MOEX disclosure</x:v>
      </x:c>
      <x:c r="AS29" s="42" t="str">
        <x:v>https://www.moex.com/n101562</x:v>
      </x:c>
      <x:c r="AT29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30">
      <x:c r="A30" s="42" t="str">
        <x:v>DL-moex-101561</x:v>
      </x:c>
      <x:c r="B30" s="44" t="n">
        <x:v>46202</x:v>
      </x:c>
      <x:c r="C30" s="42" t="str">
        <x:v>DCM</x:v>
      </x:c>
      <x:c r="D30" s="42" t="str">
        <x:v>technical_filing</x:v>
      </x:c>
      <x:c r="E30" s="42" t="str">
        <x:v>Confirmed</x:v>
      </x:c>
      <x:c r="F30" s="42" t="str">
        <x:v>ПАО АФК "СИСТЕМА"</x:v>
      </x:c>
      <x:c r="G30" s="42" t="str">
        <x:v>Not applicable</x:v>
      </x:c>
      <x:c r="H30" s="42" t="str">
        <x:v>Not applicable</x:v>
      </x:c>
      <x:c r="I30" s="42" t="str">
        <x:v>Not classified</x:v>
      </x:c>
      <x:c r="J30" s="42" t="str">
        <x:v>Russia</x:v>
      </x:c>
      <x:c r="K30" s="45"/>
      <x:c r="L30" s="45"/>
      <x:c r="M30" s="42" t="str">
        <x:v>Not disclosed</x:v>
      </x:c>
      <x:c r="N30" s="46"/>
      <x:c r="O30" s="42" t="str">
        <x:v>Not applicable</x:v>
      </x:c>
      <x:c r="P30" s="42" t="str">
        <x:v>Not disclosed</x:v>
      </x:c>
      <x:c r="Q30" s="42" t="str">
        <x:v>Bonds</x:v>
      </x:c>
      <x:c r="R30" s="42" t="str">
        <x:v>4B02-14-01669-A-002P</x:v>
      </x:c>
      <x:c r="S30" s="42" t="str">
        <x:v>RU000A10FA72</x:v>
      </x:c>
      <x:c r="T30" s="46"/>
      <x:c r="U30" s="42" t="str">
        <x:v>Not disclosed</x:v>
      </x:c>
      <x:c r="V30" s="46"/>
      <x:c r="W30" s="44"/>
      <x:c r="X30" s="42" t="str">
        <x:v>Not disclosed</x:v>
      </x:c>
      <x:c r="Y30" s="42"/>
      <x:c r="Z30" s="42"/>
      <x:c r="AA30" s="46"/>
      <x:c r="AB30" s="42" t="str">
        <x:v>Not applicable</x:v>
      </x:c>
      <x:c r="AC30" s="46"/>
      <x:c r="AD30" s="42" t="str">
        <x:v>Not disclosed</x:v>
      </x:c>
      <x:c r="AE30" s="45"/>
      <x:c r="AF30" s="45"/>
      <x:c r="AG30" s="44"/>
      <x:c r="AH30" s="42" t="str">
        <x:v>Not disclosed</x:v>
      </x:c>
      <x:c r="AI30" s="47"/>
      <x:c r="AJ30" s="47"/>
      <x:c r="AK30" s="42" t="str">
        <x:v>Not disclosed</x:v>
      </x:c>
      <x:c r="AL30" s="42" t="str">
        <x:v>Not disclosed</x:v>
      </x:c>
      <x:c r="AM30" s="42" t="str">
        <x:v>N/M: EV and aligned-currency financials are required</x:v>
      </x:c>
      <x:c r="AN30" s="42" t="str">
        <x:v>review</x:v>
      </x:c>
      <x:c r="AO30" s="42" t="n">
        <x:v>60</x:v>
      </x:c>
      <x:c r="AP30" s="42" t="str">
        <x:v>confirmed</x:v>
      </x:c>
      <x:c r="AQ30" s="42" t="n">
        <x:v>1</x:v>
      </x:c>
      <x:c r="AR30" s="42" t="str">
        <x:v>MOEX disclosure</x:v>
      </x:c>
      <x:c r="AS30" s="42" t="str">
        <x:v>https://www.moex.com/n101561</x:v>
      </x:c>
      <x:c r="AT30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31">
      <x:c r="A31" s="42" t="str">
        <x:v>DL-moex-101559</x:v>
      </x:c>
      <x:c r="B31" s="44" t="n">
        <x:v>46202</x:v>
      </x:c>
      <x:c r="C31" s="42" t="str">
        <x:v>DCM</x:v>
      </x:c>
      <x:c r="D31" s="42" t="str">
        <x:v>technical_filing</x:v>
      </x:c>
      <x:c r="E31" s="42" t="str">
        <x:v>Confirmed</x:v>
      </x:c>
      <x:c r="F31" s="42" t="str">
        <x:v>Акционерное общество "Сбербанк КИБ"</x:v>
      </x:c>
      <x:c r="G31" s="42" t="str">
        <x:v>Not applicable</x:v>
      </x:c>
      <x:c r="H31" s="42" t="str">
        <x:v>Not applicable</x:v>
      </x:c>
      <x:c r="I31" s="42" t="str">
        <x:v>Financials</x:v>
      </x:c>
      <x:c r="J31" s="42" t="str">
        <x:v>Not disclosed</x:v>
      </x:c>
      <x:c r="K31" s="45"/>
      <x:c r="L31" s="45"/>
      <x:c r="M31" s="42" t="str">
        <x:v>Not disclosed</x:v>
      </x:c>
      <x:c r="N31" s="46"/>
      <x:c r="O31" s="42" t="str">
        <x:v>Not applicable</x:v>
      </x:c>
      <x:c r="P31" s="42" t="str">
        <x:v>Not disclosed</x:v>
      </x:c>
      <x:c r="Q31" s="42" t="str">
        <x:v>Bonds</x:v>
      </x:c>
      <x:c r="R31" s="42" t="str">
        <x:v>6-521-01793-A-001P</x:v>
      </x:c>
      <x:c r="S31" s="42" t="str">
        <x:v>Not disclosed</x:v>
      </x:c>
      <x:c r="T31" s="46"/>
      <x:c r="U31" s="42" t="str">
        <x:v>Not disclosed</x:v>
      </x:c>
      <x:c r="V31" s="46"/>
      <x:c r="W31" s="44"/>
      <x:c r="X31" s="42" t="str">
        <x:v>Not disclosed</x:v>
      </x:c>
      <x:c r="Y31" s="42"/>
      <x:c r="Z31" s="42"/>
      <x:c r="AA31" s="46"/>
      <x:c r="AB31" s="42" t="str">
        <x:v>Not applicable</x:v>
      </x:c>
      <x:c r="AC31" s="46"/>
      <x:c r="AD31" s="42" t="str">
        <x:v>Not disclosed</x:v>
      </x:c>
      <x:c r="AE31" s="45"/>
      <x:c r="AF31" s="45"/>
      <x:c r="AG31" s="44"/>
      <x:c r="AH31" s="42" t="str">
        <x:v>Not disclosed</x:v>
      </x:c>
      <x:c r="AI31" s="47"/>
      <x:c r="AJ31" s="47"/>
      <x:c r="AK31" s="42" t="str">
        <x:v>Not disclosed</x:v>
      </x:c>
      <x:c r="AL31" s="42" t="str">
        <x:v>Not disclosed</x:v>
      </x:c>
      <x:c r="AM31" s="42" t="str">
        <x:v>N/M: EV and aligned-currency financials are required</x:v>
      </x:c>
      <x:c r="AN31" s="42" t="str">
        <x:v>review</x:v>
      </x:c>
      <x:c r="AO31" s="42" t="n">
        <x:v>60</x:v>
      </x:c>
      <x:c r="AP31" s="42" t="str">
        <x:v>confirmed</x:v>
      </x:c>
      <x:c r="AQ31" s="42" t="n">
        <x:v>1</x:v>
      </x:c>
      <x:c r="AR31" s="42" t="str">
        <x:v>MOEX disclosure</x:v>
      </x:c>
      <x:c r="AS31" s="42" t="str">
        <x:v>https://www.moex.com/n101559</x:v>
      </x:c>
      <x:c r="AT31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32">
      <x:c r="A32" s="42" t="str">
        <x:v>DL-884a90d63a74113a</x:v>
      </x:c>
      <x:c r="B32" s="44" t="n">
        <x:v>46202</x:v>
      </x:c>
      <x:c r="C32" s="42" t="str">
        <x:v>DCM</x:v>
      </x:c>
      <x:c r="D32" s="42" t="str">
        <x:v>watchlist</x:v>
      </x:c>
      <x:c r="E32" s="42" t="str">
        <x:v>Reported</x:v>
      </x:c>
      <x:c r="F32" s="42" t="str">
        <x:v>SpaceX</x:v>
      </x:c>
      <x:c r="G32" s="42" t="str">
        <x:v>Not applicable</x:v>
      </x:c>
      <x:c r="H32" s="42" t="str">
        <x:v>Not applicable</x:v>
      </x:c>
      <x:c r="I32" s="42" t="str">
        <x:v>Not classified</x:v>
      </x:c>
      <x:c r="J32" s="42" t="str">
        <x:v>Not disclosed</x:v>
      </x:c>
      <x:c r="K32" s="45" t="n">
        <x:v>25000000000</x:v>
      </x:c>
      <x:c r="L32" s="45"/>
      <x:c r="M32" s="42" t="str">
        <x:v>USD</x:v>
      </x:c>
      <x:c r="N32" s="46"/>
      <x:c r="O32" s="42" t="str">
        <x:v>Not applicable</x:v>
      </x:c>
      <x:c r="P32" s="42" t="str">
        <x:v>Not disclosed</x:v>
      </x:c>
      <x:c r="Q32" s="42" t="str">
        <x:v>Bonds</x:v>
      </x:c>
      <x:c r="R32" s="42" t="str">
        <x:v>Not disclosed</x:v>
      </x:c>
      <x:c r="S32" s="42" t="str">
        <x:v>Not disclosed</x:v>
      </x:c>
      <x:c r="T32" s="46"/>
      <x:c r="U32" s="42" t="str">
        <x:v>Not disclosed</x:v>
      </x:c>
      <x:c r="V32" s="46"/>
      <x:c r="W32" s="44"/>
      <x:c r="X32" s="42" t="str">
        <x:v>Not disclosed</x:v>
      </x:c>
      <x:c r="Y32" s="42"/>
      <x:c r="Z32" s="42"/>
      <x:c r="AA32" s="46"/>
      <x:c r="AB32" s="42" t="str">
        <x:v>Not applicable</x:v>
      </x:c>
      <x:c r="AC32" s="46"/>
      <x:c r="AD32" s="42" t="str">
        <x:v>Not disclosed</x:v>
      </x:c>
      <x:c r="AE32" s="45"/>
      <x:c r="AF32" s="45"/>
      <x:c r="AG32" s="44"/>
      <x:c r="AH32" s="42" t="str">
        <x:v>Not disclosed</x:v>
      </x:c>
      <x:c r="AI32" s="47"/>
      <x:c r="AJ32" s="47"/>
      <x:c r="AK32" s="42" t="str">
        <x:v>Not disclosed</x:v>
      </x:c>
      <x:c r="AL32" s="42" t="str">
        <x:v>Not disclosed</x:v>
      </x:c>
      <x:c r="AM32" s="42" t="str">
        <x:v>N/M: EV and aligned-currency financials are required</x:v>
      </x:c>
      <x:c r="AN32" s="42" t="str">
        <x:v>review</x:v>
      </x:c>
      <x:c r="AO32" s="42" t="n">
        <x:v>75</x:v>
      </x:c>
      <x:c r="AP32" s="42" t="str">
        <x:v>unverified</x:v>
      </x:c>
      <x:c r="AQ32" s="42" t="n">
        <x:v>2</x:v>
      </x:c>
      <x:c r="AR32" s="42" t="str">
        <x:v>Финансы Mail</x:v>
      </x:c>
      <x:c r="AS32" s="42" t="str">
        <x:v>https://finance.mail.ru/article/vyipusk-obligatsij-spacex-na-25-mlrd-vyizval-opaseniya-investorov-69215522/</x:v>
      </x:c>
      <x:c r="AT32" s="42" t="str">
        <x:v>Выпуск облигаций SpaceX на $25 млрд вызвал опасения инвесторов - Финансы Mail</x:v>
      </x:c>
    </x:row>
    <x:row r="33">
      <x:c r="A33" s="42" t="str">
        <x:v>DL-b10ff92f48cadefa</x:v>
      </x:c>
      <x:c r="B33" s="44" t="n">
        <x:v>46202</x:v>
      </x:c>
      <x:c r="C33" s="42" t="str">
        <x:v>ECM</x:v>
      </x:c>
      <x:c r="D33" s="42" t="str">
        <x:v>watchlist</x:v>
      </x:c>
      <x:c r="E33" s="42" t="str">
        <x:v>Reported</x:v>
      </x:c>
      <x:c r="F33" s="42" t="str">
        <x:v>VKCO</x:v>
      </x:c>
      <x:c r="G33" s="42" t="str">
        <x:v>Not applicable</x:v>
      </x:c>
      <x:c r="H33" s="42" t="str">
        <x:v>Not applicable</x:v>
      </x:c>
      <x:c r="I33" s="42" t="str">
        <x:v>Not classified</x:v>
      </x:c>
      <x:c r="J33" s="42" t="str">
        <x:v>Not disclosed</x:v>
      </x:c>
      <x:c r="K33" s="45" t="n">
        <x:v>251000000000</x:v>
      </x:c>
      <x:c r="L33" s="45"/>
      <x:c r="M33" s="42" t="str">
        <x:v>USD</x:v>
      </x:c>
      <x:c r="N33" s="46"/>
      <x:c r="O33" s="42" t="str">
        <x:v>Not applicable</x:v>
      </x:c>
      <x:c r="P33" s="42" t="str">
        <x:v>Not disclosed</x:v>
      </x:c>
      <x:c r="Q33" s="42" t="str">
        <x:v>IPO</x:v>
      </x:c>
      <x:c r="R33" s="42" t="str">
        <x:v>Not applicable</x:v>
      </x:c>
      <x:c r="S33" s="42" t="str">
        <x:v>Not applicable</x:v>
      </x:c>
      <x:c r="T33" s="46"/>
      <x:c r="U33" s="42" t="str">
        <x:v>Not applicable</x:v>
      </x:c>
      <x:c r="V33" s="46"/>
      <x:c r="W33" s="44"/>
      <x:c r="X33" s="42" t="str">
        <x:v>Not applicable</x:v>
      </x:c>
      <x:c r="Y33" s="42"/>
      <x:c r="Z33" s="42"/>
      <x:c r="AA33" s="46"/>
      <x:c r="AB33" s="42" t="str">
        <x:v>Not disclosed</x:v>
      </x:c>
      <x:c r="AC33" s="46"/>
      <x:c r="AD33" s="42" t="str">
        <x:v>Not disclosed</x:v>
      </x:c>
      <x:c r="AE33" s="45"/>
      <x:c r="AF33" s="45"/>
      <x:c r="AG33" s="44"/>
      <x:c r="AH33" s="42" t="str">
        <x:v>Not disclosed</x:v>
      </x:c>
      <x:c r="AI33" s="47"/>
      <x:c r="AJ33" s="47"/>
      <x:c r="AK33" s="42" t="str">
        <x:v>Not disclosed</x:v>
      </x:c>
      <x:c r="AL33" s="42" t="str">
        <x:v>Not disclosed</x:v>
      </x:c>
      <x:c r="AM33" s="42" t="str">
        <x:v>N/M: EV and aligned-currency financials are required</x:v>
      </x:c>
      <x:c r="AN33" s="42" t="str">
        <x:v>review</x:v>
      </x:c>
      <x:c r="AO33" s="42" t="n">
        <x:v>75</x:v>
      </x:c>
      <x:c r="AP33" s="42" t="str">
        <x:v>unverified</x:v>
      </x:c>
      <x:c r="AQ33" s="42" t="n">
        <x:v>2</x:v>
      </x:c>
      <x:c r="AR33" s="42" t="str">
        <x:v>Финам</x:v>
      </x:c>
      <x:c r="AS33" s="42" t="str">
        <x:v>https://www.finam.ru/publications/item/razmeshcheniya-aktsiy-v-ssha-v-1-polugodii-sostavili-rekordnye-251-mlrd-blagodarya-spacex-20260629-1601/</x:v>
      </x:c>
      <x:c r="AT33" s="42" t="str">
        <x:v>Объем IPO и продаж акций в США в 1 полугодии составил рекордные $251 млрд благодаря SpaceX - Финам</x:v>
      </x:c>
    </x:row>
    <x:row r="34">
      <x:c r="A34" s="42" t="str">
        <x:v>DL-4d8f7bcb385b1c88</x:v>
      </x:c>
      <x:c r="B34" s="44" t="n">
        <x:v>46201</x:v>
      </x:c>
      <x:c r="C34" s="42" t="str">
        <x:v>DCM</x:v>
      </x:c>
      <x:c r="D34" s="42" t="str">
        <x:v>deal</x:v>
      </x:c>
      <x:c r="E34" s="42" t="str">
        <x:v>Closed</x:v>
      </x:c>
      <x:c r="F34" s="42" t="str">
        <x:v>MTSS</x:v>
      </x:c>
      <x:c r="G34" s="42" t="str">
        <x:v>Not applicable</x:v>
      </x:c>
      <x:c r="H34" s="42" t="str">
        <x:v>Not applicable</x:v>
      </x:c>
      <x:c r="I34" s="42" t="str">
        <x:v>Not classified</x:v>
      </x:c>
      <x:c r="J34" s="42" t="str">
        <x:v>Russia</x:v>
      </x:c>
      <x:c r="K34" s="45" t="n">
        <x:v>20000000000</x:v>
      </x:c>
      <x:c r="L34" s="45"/>
      <x:c r="M34" s="42" t="str">
        <x:v>RUB</x:v>
      </x:c>
      <x:c r="N34" s="46"/>
      <x:c r="O34" s="42" t="str">
        <x:v>Not applicable</x:v>
      </x:c>
      <x:c r="P34" s="42" t="str">
        <x:v>Not disclosed</x:v>
      </x:c>
      <x:c r="Q34" s="42" t="str">
        <x:v>Bonds</x:v>
      </x:c>
      <x:c r="R34" s="42" t="str">
        <x:v>Not disclosed</x:v>
      </x:c>
      <x:c r="S34" s="42" t="str">
        <x:v>Not disclosed</x:v>
      </x:c>
      <x:c r="T34" s="46"/>
      <x:c r="U34" s="42" t="str">
        <x:v>Not disclosed</x:v>
      </x:c>
      <x:c r="V34" s="46"/>
      <x:c r="W34" s="44"/>
      <x:c r="X34" s="42" t="str">
        <x:v>Not disclosed</x:v>
      </x:c>
      <x:c r="Y34" s="42"/>
      <x:c r="Z34" s="42"/>
      <x:c r="AA34" s="46"/>
      <x:c r="AB34" s="42" t="str">
        <x:v>Not applicable</x:v>
      </x:c>
      <x:c r="AC34" s="46"/>
      <x:c r="AD34" s="42" t="str">
        <x:v>Not disclosed</x:v>
      </x:c>
      <x:c r="AE34" s="45"/>
      <x:c r="AF34" s="45"/>
      <x:c r="AG34" s="44"/>
      <x:c r="AH34" s="42" t="str">
        <x:v>Not disclosed</x:v>
      </x:c>
      <x:c r="AI34" s="47"/>
      <x:c r="AJ34" s="47"/>
      <x:c r="AK34" s="42" t="str">
        <x:v>Not disclosed</x:v>
      </x:c>
      <x:c r="AL34" s="42" t="str">
        <x:v>Not disclosed</x:v>
      </x:c>
      <x:c r="AM34" s="42" t="str">
        <x:v>N/M: EV and aligned-currency financials are required</x:v>
      </x:c>
      <x:c r="AN34" s="42" t="str">
        <x:v>approved</x:v>
      </x:c>
      <x:c r="AO34" s="42" t="n">
        <x:v>100</x:v>
      </x:c>
      <x:c r="AP34" s="42" t="str">
        <x:v>confirmed</x:v>
      </x:c>
      <x:c r="AQ34" s="42" t="n">
        <x:v>1</x:v>
      </x:c>
      <x:c r="AR34" s="42" t="str">
        <x:v>MTS Investor Relations</x:v>
      </x:c>
      <x:c r="AS34" s="42" t="str">
        <x:v>https://ir.mts.ru/news_and_events/corporate_releases/details/742414</x:v>
      </x:c>
      <x:c r="AT34" s="42" t="str">
        <x:v>МТС успешно закрыла книгу биржевых облигаций 003Р-03 на 20 млрд руб.</x:v>
      </x:c>
    </x:row>
    <x:row r="35">
      <x:c r="A35" s="42" t="str">
        <x:v>DL-bfcdac2063ce29e4</x:v>
      </x:c>
      <x:c r="B35" s="44" t="n">
        <x:v>46201</x:v>
      </x:c>
      <x:c r="C35" s="42" t="str">
        <x:v>DCM</x:v>
      </x:c>
      <x:c r="D35" s="42" t="str">
        <x:v>watchlist</x:v>
      </x:c>
      <x:c r="E35" s="42" t="str">
        <x:v>Reported</x:v>
      </x:c>
      <x:c r="F35" s="42" t="str">
        <x:v>YDEX</x:v>
      </x:c>
      <x:c r="G35" s="42" t="str">
        <x:v>Not applicable</x:v>
      </x:c>
      <x:c r="H35" s="42" t="str">
        <x:v>Not applicable</x:v>
      </x:c>
      <x:c r="I35" s="42" t="str">
        <x:v>Not classified</x:v>
      </x:c>
      <x:c r="J35" s="42" t="str">
        <x:v>Not disclosed</x:v>
      </x:c>
      <x:c r="K35" s="45"/>
      <x:c r="L35" s="45"/>
      <x:c r="M35" s="42" t="str">
        <x:v>Not disclosed</x:v>
      </x:c>
      <x:c r="N35" s="46"/>
      <x:c r="O35" s="42" t="str">
        <x:v>Not applicable</x:v>
      </x:c>
      <x:c r="P35" s="42" t="str">
        <x:v>Not disclosed</x:v>
      </x:c>
      <x:c r="Q35" s="42" t="str">
        <x:v>Bonds</x:v>
      </x:c>
      <x:c r="R35" s="42" t="str">
        <x:v>Not disclosed</x:v>
      </x:c>
      <x:c r="S35" s="42" t="str">
        <x:v>Not disclosed</x:v>
      </x:c>
      <x:c r="T35" s="46"/>
      <x:c r="U35" s="42" t="str">
        <x:v>Not disclosed</x:v>
      </x:c>
      <x:c r="V35" s="46"/>
      <x:c r="W35" s="44"/>
      <x:c r="X35" s="42" t="str">
        <x:v>Not disclosed</x:v>
      </x:c>
      <x:c r="Y35" s="42"/>
      <x:c r="Z35" s="42"/>
      <x:c r="AA35" s="46"/>
      <x:c r="AB35" s="42" t="str">
        <x:v>Not applicable</x:v>
      </x:c>
      <x:c r="AC35" s="46"/>
      <x:c r="AD35" s="42" t="str">
        <x:v>Not disclosed</x:v>
      </x:c>
      <x:c r="AE35" s="45"/>
      <x:c r="AF35" s="45"/>
      <x:c r="AG35" s="44"/>
      <x:c r="AH35" s="42" t="str">
        <x:v>Not disclosed</x:v>
      </x:c>
      <x:c r="AI35" s="47"/>
      <x:c r="AJ35" s="47"/>
      <x:c r="AK35" s="42" t="str">
        <x:v>Not disclosed</x:v>
      </x:c>
      <x:c r="AL35" s="42" t="str">
        <x:v>Not disclosed</x:v>
      </x:c>
      <x:c r="AM35" s="42" t="str">
        <x:v>N/M: EV and aligned-currency financials are required</x:v>
      </x:c>
      <x:c r="AN35" s="42" t="str">
        <x:v>rejected</x:v>
      </x:c>
      <x:c r="AO35" s="42" t="n">
        <x:v>15</x:v>
      </x:c>
      <x:c r="AP35" s="42" t="str">
        <x:v>unverified</x:v>
      </x:c>
      <x:c r="AQ35" s="42" t="n">
        <x:v>2</x:v>
      </x:c>
      <x:c r="AR35" s="42" t="str">
        <x:v>Финансы Mail</x:v>
      </x:c>
      <x:c r="AS35" s="42" t="str">
        <x:v>https://finance.mail.ru/article/molodyie-investoryi-uvelichili-vlozheniya-v-obligatsii-v-dva-raza-69215293/</x:v>
      </x:c>
      <x:c r="AT35" s="42" t="str">
        <x:v>Молодые инвесторы увеличили вложения в облигации в два раза - Финансы Mail</x:v>
      </x:c>
    </x:row>
    <x:row r="36">
      <x:c r="A36" s="42" t="str">
        <x:v>DL-3c400018ff8f7b5b</x:v>
      </x:c>
      <x:c r="B36" s="44" t="n">
        <x:v>46200</x:v>
      </x:c>
      <x:c r="C36" s="42" t="str">
        <x:v>M&amp;A</x:v>
      </x:c>
      <x:c r="D36" s="42" t="str">
        <x:v>watchlist</x:v>
      </x:c>
      <x:c r="E36" s="42" t="str">
        <x:v>Reported</x:v>
      </x:c>
      <x:c r="F36" s="42" t="str">
        <x:v>Not disclosed</x:v>
      </x:c>
      <x:c r="G36" s="42" t="str">
        <x:v>Not disclosed</x:v>
      </x:c>
      <x:c r="H36" s="42" t="str">
        <x:v>Not disclosed</x:v>
      </x:c>
      <x:c r="I36" s="42" t="str">
        <x:v>Not classified</x:v>
      </x:c>
      <x:c r="J36" s="42" t="str">
        <x:v>Not disclosed</x:v>
      </x:c>
      <x:c r="K36" s="45"/>
      <x:c r="L36" s="45"/>
      <x:c r="M36" s="42" t="str">
        <x:v>Not disclosed</x:v>
      </x:c>
      <x:c r="N36" s="46"/>
      <x:c r="O36" s="42" t="str">
        <x:v>Shares</x:v>
      </x:c>
      <x:c r="P36" s="42" t="str">
        <x:v>Not disclosed</x:v>
      </x:c>
      <x:c r="Q36" s="42" t="str">
        <x:v>Acquisition / disposal</x:v>
      </x:c>
      <x:c r="R36" s="42" t="str">
        <x:v>Not applicable</x:v>
      </x:c>
      <x:c r="S36" s="42" t="str">
        <x:v>Not applicable</x:v>
      </x:c>
      <x:c r="T36" s="46"/>
      <x:c r="U36" s="42" t="str">
        <x:v>Not applicable</x:v>
      </x:c>
      <x:c r="V36" s="46"/>
      <x:c r="W36" s="44"/>
      <x:c r="X36" s="42" t="str">
        <x:v>Not applicable</x:v>
      </x:c>
      <x:c r="Y36" s="42"/>
      <x:c r="Z36" s="42"/>
      <x:c r="AA36" s="46"/>
      <x:c r="AB36" s="42" t="str">
        <x:v>Not applicable</x:v>
      </x:c>
      <x:c r="AC36" s="46"/>
      <x:c r="AD36" s="42" t="str">
        <x:v>Not disclosed</x:v>
      </x:c>
      <x:c r="AE36" s="45"/>
      <x:c r="AF36" s="45"/>
      <x:c r="AG36" s="44"/>
      <x:c r="AH36" s="42" t="str">
        <x:v>Not disclosed</x:v>
      </x:c>
      <x:c r="AI36" s="47"/>
      <x:c r="AJ36" s="47"/>
      <x:c r="AK36" s="42" t="str">
        <x:v>Not disclosed</x:v>
      </x:c>
      <x:c r="AL36" s="42" t="str">
        <x:v>Not disclosed</x:v>
      </x:c>
      <x:c r="AM36" s="42" t="str">
        <x:v>N/M: EV and aligned-currency financials are required</x:v>
      </x:c>
      <x:c r="AN36" s="42" t="str">
        <x:v>rejected</x:v>
      </x:c>
      <x:c r="AO36" s="42" t="n">
        <x:v>0</x:v>
      </x:c>
      <x:c r="AP36" s="42" t="str">
        <x:v>unverified</x:v>
      </x:c>
      <x:c r="AQ36" s="42" t="n">
        <x:v>1</x:v>
      </x:c>
      <x:c r="AR36" s="42" t="str">
        <x:v>foreignpolicyjournal.com</x:v>
      </x:c>
      <x:c r="AS36" s="42" t="str">
        <x:v>https://www.foreignpolicyjournal.com/2026/06/26/nebius-group-nasdaq-nbis-completes-eigen-ai-acquisition-analyst-lifts-stock-price-target-to-280/</x:v>
      </x:c>
      <x:c r="AT36" s="42" t="str">
        <x:v>Nebius Group ( NASDAQ : NBIS ) Completes Eigen AI Acquisition , Analyst Lifts Stock Price Target To $280</x:v>
      </x:c>
    </x:row>
    <x:row r="37">
      <x:c r="A37" s="42" t="str">
        <x:v>DL-moex-101473</x:v>
      </x:c>
      <x:c r="B37" s="44" t="n">
        <x:v>46199</x:v>
      </x:c>
      <x:c r="C37" s="42" t="str">
        <x:v>DCM</x:v>
      </x:c>
      <x:c r="D37" s="42" t="str">
        <x:v>technical_filing</x:v>
      </x:c>
      <x:c r="E37" s="42" t="str">
        <x:v>Confirmed</x:v>
      </x:c>
      <x:c r="F37" s="42" t="str">
        <x:v>Not disclosed</x:v>
      </x:c>
      <x:c r="G37" s="42" t="str">
        <x:v>Not applicable</x:v>
      </x:c>
      <x:c r="H37" s="42" t="str">
        <x:v>Not applicable</x:v>
      </x:c>
      <x:c r="I37" s="42" t="str">
        <x:v>Not classified</x:v>
      </x:c>
      <x:c r="J37" s="42" t="str">
        <x:v>Russia</x:v>
      </x:c>
      <x:c r="K37" s="45"/>
      <x:c r="L37" s="45"/>
      <x:c r="M37" s="42" t="str">
        <x:v>Not disclosed</x:v>
      </x:c>
      <x:c r="N37" s="46"/>
      <x:c r="O37" s="42" t="str">
        <x:v>Not applicable</x:v>
      </x:c>
      <x:c r="P37" s="42" t="str">
        <x:v>Not disclosed</x:v>
      </x:c>
      <x:c r="Q37" s="42" t="str">
        <x:v>Bonds</x:v>
      </x:c>
      <x:c r="R37" s="42" t="str">
        <x:v>Not disclosed</x:v>
      </x:c>
      <x:c r="S37" s="42" t="str">
        <x:v>Not disclosed</x:v>
      </x:c>
      <x:c r="T37" s="46"/>
      <x:c r="U37" s="42" t="str">
        <x:v>Not disclosed</x:v>
      </x:c>
      <x:c r="V37" s="46"/>
      <x:c r="W37" s="44"/>
      <x:c r="X37" s="42" t="str">
        <x:v>Not disclosed</x:v>
      </x:c>
      <x:c r="Y37" s="42"/>
      <x:c r="Z37" s="42"/>
      <x:c r="AA37" s="46"/>
      <x:c r="AB37" s="42" t="str">
        <x:v>Not applicable</x:v>
      </x:c>
      <x:c r="AC37" s="46"/>
      <x:c r="AD37" s="42" t="str">
        <x:v>Not disclosed</x:v>
      </x:c>
      <x:c r="AE37" s="45"/>
      <x:c r="AF37" s="45"/>
      <x:c r="AG37" s="44"/>
      <x:c r="AH37" s="42" t="str">
        <x:v>Not disclosed</x:v>
      </x:c>
      <x:c r="AI37" s="47"/>
      <x:c r="AJ37" s="47"/>
      <x:c r="AK37" s="42" t="str">
        <x:v>Not disclosed</x:v>
      </x:c>
      <x:c r="AL37" s="42" t="str">
        <x:v>Not disclosed</x:v>
      </x:c>
      <x:c r="AM37" s="42" t="str">
        <x:v>N/M: EV and aligned-currency financials are required</x:v>
      </x:c>
      <x:c r="AN37" s="42" t="str">
        <x:v>review</x:v>
      </x:c>
      <x:c r="AO37" s="42" t="n">
        <x:v>40</x:v>
      </x:c>
      <x:c r="AP37" s="42" t="str">
        <x:v>confirmed</x:v>
      </x:c>
      <x:c r="AQ37" s="42" t="n">
        <x:v>1</x:v>
      </x:c>
      <x:c r="AR37" s="42" t="str">
        <x:v>MOEX disclosure</x:v>
      </x:c>
      <x:c r="AS37" s="42" t="str">
        <x:v>https://www.moex.com/n101473</x:v>
      </x:c>
      <x:c r="AT37" s="42" t="str">
        <x:v>О регистрации проспекта биржевых облигаций</x:v>
      </x:c>
    </x:row>
    <x:row r="38">
      <x:c r="A38" s="42" t="str">
        <x:v>DL-moex-101492</x:v>
      </x:c>
      <x:c r="B38" s="44" t="n">
        <x:v>46199</x:v>
      </x:c>
      <x:c r="C38" s="42" t="str">
        <x:v>DCM</x:v>
      </x:c>
      <x:c r="D38" s="42" t="str">
        <x:v>technical_filing</x:v>
      </x:c>
      <x:c r="E38" s="42" t="str">
        <x:v>Confirmed</x:v>
      </x:c>
      <x:c r="F38" s="42" t="str">
        <x:v>Not disclosed</x:v>
      </x:c>
      <x:c r="G38" s="42" t="str">
        <x:v>Not applicable</x:v>
      </x:c>
      <x:c r="H38" s="42" t="str">
        <x:v>Not applicable</x:v>
      </x:c>
      <x:c r="I38" s="42" t="str">
        <x:v>Not classified</x:v>
      </x:c>
      <x:c r="J38" s="42" t="str">
        <x:v>Russia</x:v>
      </x:c>
      <x:c r="K38" s="45"/>
      <x:c r="L38" s="45"/>
      <x:c r="M38" s="42" t="str">
        <x:v>Not disclosed</x:v>
      </x:c>
      <x:c r="N38" s="46"/>
      <x:c r="O38" s="42" t="str">
        <x:v>Not applicable</x:v>
      </x:c>
      <x:c r="P38" s="42" t="str">
        <x:v>Not disclosed</x:v>
      </x:c>
      <x:c r="Q38" s="42" t="str">
        <x:v>Bonds</x:v>
      </x:c>
      <x:c r="R38" s="42" t="str">
        <x:v>Not disclosed</x:v>
      </x:c>
      <x:c r="S38" s="42" t="str">
        <x:v>Not disclosed</x:v>
      </x:c>
      <x:c r="T38" s="46"/>
      <x:c r="U38" s="42" t="str">
        <x:v>Not disclosed</x:v>
      </x:c>
      <x:c r="V38" s="46"/>
      <x:c r="W38" s="44"/>
      <x:c r="X38" s="42" t="str">
        <x:v>Not disclosed</x:v>
      </x:c>
      <x:c r="Y38" s="42"/>
      <x:c r="Z38" s="42"/>
      <x:c r="AA38" s="46"/>
      <x:c r="AB38" s="42" t="str">
        <x:v>Not applicable</x:v>
      </x:c>
      <x:c r="AC38" s="46"/>
      <x:c r="AD38" s="42" t="str">
        <x:v>Not disclosed</x:v>
      </x:c>
      <x:c r="AE38" s="45"/>
      <x:c r="AF38" s="45"/>
      <x:c r="AG38" s="44"/>
      <x:c r="AH38" s="42" t="str">
        <x:v>Not disclosed</x:v>
      </x:c>
      <x:c r="AI38" s="47"/>
      <x:c r="AJ38" s="47"/>
      <x:c r="AK38" s="42" t="str">
        <x:v>Not disclosed</x:v>
      </x:c>
      <x:c r="AL38" s="42" t="str">
        <x:v>Not disclosed</x:v>
      </x:c>
      <x:c r="AM38" s="42" t="str">
        <x:v>N/M: EV and aligned-currency financials are required</x:v>
      </x:c>
      <x:c r="AN38" s="42" t="str">
        <x:v>review</x:v>
      </x:c>
      <x:c r="AO38" s="42" t="n">
        <x:v>40</x:v>
      </x:c>
      <x:c r="AP38" s="42" t="str">
        <x:v>confirmed</x:v>
      </x:c>
      <x:c r="AQ38" s="42" t="n">
        <x:v>1</x:v>
      </x:c>
      <x:c r="AR38" s="42" t="str">
        <x:v>MOEX disclosure</x:v>
      </x:c>
      <x:c r="AS38" s="42" t="str">
        <x:v>https://www.moex.com/n101492</x:v>
      </x:c>
      <x:c r="AT3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9">
      <x:c r="A39" s="42" t="str">
        <x:v>DL-moex-101468</x:v>
      </x:c>
      <x:c r="B39" s="44" t="n">
        <x:v>46199</x:v>
      </x:c>
      <x:c r="C39" s="42" t="str">
        <x:v>DCM</x:v>
      </x:c>
      <x:c r="D39" s="42" t="str">
        <x:v>technical_filing</x:v>
      </x:c>
      <x:c r="E39" s="42" t="str">
        <x:v>Confirmed</x:v>
      </x:c>
      <x:c r="F39" s="42" t="str">
        <x:v>Not disclosed</x:v>
      </x:c>
      <x:c r="G39" s="42" t="str">
        <x:v>Not applicable</x:v>
      </x:c>
      <x:c r="H39" s="42" t="str">
        <x:v>Not applicable</x:v>
      </x:c>
      <x:c r="I39" s="42" t="str">
        <x:v>Not classified</x:v>
      </x:c>
      <x:c r="J39" s="42" t="str">
        <x:v>Russia</x:v>
      </x:c>
      <x:c r="K39" s="45"/>
      <x:c r="L39" s="45"/>
      <x:c r="M39" s="42" t="str">
        <x:v>Not disclosed</x:v>
      </x:c>
      <x:c r="N39" s="46"/>
      <x:c r="O39" s="42" t="str">
        <x:v>Not applicable</x:v>
      </x:c>
      <x:c r="P39" s="42" t="str">
        <x:v>Not disclosed</x:v>
      </x:c>
      <x:c r="Q39" s="42" t="str">
        <x:v>Bonds</x:v>
      </x:c>
      <x:c r="R39" s="42" t="str">
        <x:v>Not disclosed</x:v>
      </x:c>
      <x:c r="S39" s="42" t="str">
        <x:v>Not disclosed</x:v>
      </x:c>
      <x:c r="T39" s="46"/>
      <x:c r="U39" s="42" t="str">
        <x:v>Not disclosed</x:v>
      </x:c>
      <x:c r="V39" s="46"/>
      <x:c r="W39" s="44"/>
      <x:c r="X39" s="42" t="str">
        <x:v>Not disclosed</x:v>
      </x:c>
      <x:c r="Y39" s="42"/>
      <x:c r="Z39" s="42"/>
      <x:c r="AA39" s="46"/>
      <x:c r="AB39" s="42" t="str">
        <x:v>Not applicable</x:v>
      </x:c>
      <x:c r="AC39" s="46"/>
      <x:c r="AD39" s="42" t="str">
        <x:v>Not disclosed</x:v>
      </x:c>
      <x:c r="AE39" s="45"/>
      <x:c r="AF39" s="45"/>
      <x:c r="AG39" s="44"/>
      <x:c r="AH39" s="42" t="str">
        <x:v>Not disclosed</x:v>
      </x:c>
      <x:c r="AI39" s="47"/>
      <x:c r="AJ39" s="47"/>
      <x:c r="AK39" s="42" t="str">
        <x:v>Not disclosed</x:v>
      </x:c>
      <x:c r="AL39" s="42" t="str">
        <x:v>Not disclosed</x:v>
      </x:c>
      <x:c r="AM39" s="42" t="str">
        <x:v>N/M: EV and aligned-currency financials are required</x:v>
      </x:c>
      <x:c r="AN39" s="42" t="str">
        <x:v>review</x:v>
      </x:c>
      <x:c r="AO39" s="42" t="n">
        <x:v>40</x:v>
      </x:c>
      <x:c r="AP39" s="42" t="str">
        <x:v>confirmed</x:v>
      </x:c>
      <x:c r="AQ39" s="42" t="n">
        <x:v>1</x:v>
      </x:c>
      <x:c r="AR39" s="42" t="str">
        <x:v>MOEX disclosure</x:v>
      </x:c>
      <x:c r="AS39" s="42" t="str">
        <x:v>https://www.moex.com/n101468</x:v>
      </x:c>
      <x:c r="AT39" s="42" t="str">
        <x:v>О регистрации изменений в эмиссионные документы</x:v>
      </x:c>
    </x:row>
    <x:row r="40">
      <x:c r="A40" s="42" t="str">
        <x:v>DL-moex-101457</x:v>
      </x:c>
      <x:c r="B40" s="44" t="n">
        <x:v>46199</x:v>
      </x:c>
      <x:c r="C40" s="42" t="str">
        <x:v>DCM</x:v>
      </x:c>
      <x:c r="D40" s="42" t="str">
        <x:v>technical_filing</x:v>
      </x:c>
      <x:c r="E40" s="42" t="str">
        <x:v>Confirmed</x:v>
      </x:c>
      <x:c r="F40" s="42" t="str">
        <x:v>Not disclosed</x:v>
      </x:c>
      <x:c r="G40" s="42" t="str">
        <x:v>Not applicable</x:v>
      </x:c>
      <x:c r="H40" s="42" t="str">
        <x:v>Not applicable</x:v>
      </x:c>
      <x:c r="I40" s="42" t="str">
        <x:v>Financials</x:v>
      </x:c>
      <x:c r="J40" s="42" t="str">
        <x:v>Not disclosed</x:v>
      </x:c>
      <x:c r="K40" s="45"/>
      <x:c r="L40" s="45"/>
      <x:c r="M40" s="42" t="str">
        <x:v>Not disclosed</x:v>
      </x:c>
      <x:c r="N40" s="46"/>
      <x:c r="O40" s="42" t="str">
        <x:v>Not applicable</x:v>
      </x:c>
      <x:c r="P40" s="42" t="str">
        <x:v>Not disclosed</x:v>
      </x:c>
      <x:c r="Q40" s="42" t="str">
        <x:v>Bonds</x:v>
      </x:c>
      <x:c r="R40" s="42" t="str">
        <x:v>Not disclosed</x:v>
      </x:c>
      <x:c r="S40" s="42" t="str">
        <x:v>Not disclosed</x:v>
      </x:c>
      <x:c r="T40" s="46"/>
      <x:c r="U40" s="42" t="str">
        <x:v>Not disclosed</x:v>
      </x:c>
      <x:c r="V40" s="46"/>
      <x:c r="W40" s="44"/>
      <x:c r="X40" s="42" t="str">
        <x:v>Not disclosed</x:v>
      </x:c>
      <x:c r="Y40" s="42"/>
      <x:c r="Z40" s="42"/>
      <x:c r="AA40" s="46"/>
      <x:c r="AB40" s="42" t="str">
        <x:v>Not applicable</x:v>
      </x:c>
      <x:c r="AC40" s="46"/>
      <x:c r="AD40" s="42" t="str">
        <x:v>Not disclosed</x:v>
      </x:c>
      <x:c r="AE40" s="45"/>
      <x:c r="AF40" s="45"/>
      <x:c r="AG40" s="44"/>
      <x:c r="AH40" s="42" t="str">
        <x:v>Not disclosed</x:v>
      </x:c>
      <x:c r="AI40" s="47"/>
      <x:c r="AJ40" s="47"/>
      <x:c r="AK40" s="42" t="str">
        <x:v>Not disclosed</x:v>
      </x:c>
      <x:c r="AL40" s="42" t="str">
        <x:v>Not disclosed</x:v>
      </x:c>
      <x:c r="AM40" s="42" t="str">
        <x:v>N/M: EV and aligned-currency financials are required</x:v>
      </x:c>
      <x:c r="AN40" s="42" t="str">
        <x:v>review</x:v>
      </x:c>
      <x:c r="AO40" s="42" t="n">
        <x:v>40</x:v>
      </x:c>
      <x:c r="AP40" s="42" t="str">
        <x:v>confirmed</x:v>
      </x:c>
      <x:c r="AQ40" s="42" t="n">
        <x:v>1</x:v>
      </x:c>
      <x:c r="AR40" s="42" t="str">
        <x:v>MOEX disclosure</x:v>
      </x:c>
      <x:c r="AS40" s="42" t="str">
        <x:v>https://www.moex.com/n101457</x:v>
      </x:c>
      <x:c r="AT40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41">
      <x:c r="A41" s="42" t="str">
        <x:v>DL-moex-101454</x:v>
      </x:c>
      <x:c r="B41" s="44" t="n">
        <x:v>46199</x:v>
      </x:c>
      <x:c r="C41" s="42" t="str">
        <x:v>DCM</x:v>
      </x:c>
      <x:c r="D41" s="42" t="str">
        <x:v>technical_filing</x:v>
      </x:c>
      <x:c r="E41" s="42" t="str">
        <x:v>Confirmed</x:v>
      </x:c>
      <x:c r="F41" s="42" t="str">
        <x:v>Not disclosed</x:v>
      </x:c>
      <x:c r="G41" s="42" t="str">
        <x:v>Not applicable</x:v>
      </x:c>
      <x:c r="H41" s="42" t="str">
        <x:v>Not applicable</x:v>
      </x:c>
      <x:c r="I41" s="42" t="str">
        <x:v>Financials</x:v>
      </x:c>
      <x:c r="J41" s="42" t="str">
        <x:v>Russia</x:v>
      </x:c>
      <x:c r="K41" s="45"/>
      <x:c r="L41" s="45"/>
      <x:c r="M41" s="42" t="str">
        <x:v>Not disclosed</x:v>
      </x:c>
      <x:c r="N41" s="46"/>
      <x:c r="O41" s="42" t="str">
        <x:v>Not applicable</x:v>
      </x:c>
      <x:c r="P41" s="42" t="str">
        <x:v>Not disclosed</x:v>
      </x:c>
      <x:c r="Q41" s="42" t="str">
        <x:v>Bonds</x:v>
      </x:c>
      <x:c r="R41" s="42" t="str">
        <x:v>Not disclosed</x:v>
      </x:c>
      <x:c r="S41" s="42" t="str">
        <x:v>Not disclosed</x:v>
      </x:c>
      <x:c r="T41" s="46"/>
      <x:c r="U41" s="42" t="str">
        <x:v>Not disclosed</x:v>
      </x:c>
      <x:c r="V41" s="46"/>
      <x:c r="W41" s="44"/>
      <x:c r="X41" s="42" t="str">
        <x:v>Not disclosed</x:v>
      </x:c>
      <x:c r="Y41" s="42"/>
      <x:c r="Z41" s="42"/>
      <x:c r="AA41" s="46"/>
      <x:c r="AB41" s="42" t="str">
        <x:v>Not applicable</x:v>
      </x:c>
      <x:c r="AC41" s="46"/>
      <x:c r="AD41" s="42" t="str">
        <x:v>Not disclosed</x:v>
      </x:c>
      <x:c r="AE41" s="45"/>
      <x:c r="AF41" s="45"/>
      <x:c r="AG41" s="44"/>
      <x:c r="AH41" s="42" t="str">
        <x:v>Not disclosed</x:v>
      </x:c>
      <x:c r="AI41" s="47"/>
      <x:c r="AJ41" s="47"/>
      <x:c r="AK41" s="42" t="str">
        <x:v>Not disclosed</x:v>
      </x:c>
      <x:c r="AL41" s="42" t="str">
        <x:v>Not disclosed</x:v>
      </x:c>
      <x:c r="AM41" s="42" t="str">
        <x:v>N/M: EV and aligned-currency financials are required</x:v>
      </x:c>
      <x:c r="AN41" s="42" t="str">
        <x:v>review</x:v>
      </x:c>
      <x:c r="AO41" s="42" t="n">
        <x:v>40</x:v>
      </x:c>
      <x:c r="AP41" s="42" t="str">
        <x:v>confirmed</x:v>
      </x:c>
      <x:c r="AQ41" s="42" t="n">
        <x:v>1</x:v>
      </x:c>
      <x:c r="AR41" s="42" t="str">
        <x:v>MOEX disclosure</x:v>
      </x:c>
      <x:c r="AS41" s="42" t="str">
        <x:v>https://www.moex.com/n101454</x:v>
      </x:c>
      <x:c r="AT41" s="42" t="str">
        <x:v>О порядке приобретения облигаций серии 001P-04 ООО "АРЕНЗА-ПРО" с 29 июня 2026 год</x:v>
      </x:c>
    </x:row>
    <x:row r="42">
      <x:c r="A42" s="42" t="str">
        <x:v>DL-moex-101451</x:v>
      </x:c>
      <x:c r="B42" s="44" t="n">
        <x:v>46199</x:v>
      </x:c>
      <x:c r="C42" s="42" t="str">
        <x:v>DCM</x:v>
      </x:c>
      <x:c r="D42" s="42" t="str">
        <x:v>technical_filing</x:v>
      </x:c>
      <x:c r="E42" s="42" t="str">
        <x:v>Confirmed</x:v>
      </x:c>
      <x:c r="F42" s="42" t="str">
        <x:v>Not disclosed</x:v>
      </x:c>
      <x:c r="G42" s="42" t="str">
        <x:v>Not applicable</x:v>
      </x:c>
      <x:c r="H42" s="42" t="str">
        <x:v>Not applicable</x:v>
      </x:c>
      <x:c r="I42" s="42" t="str">
        <x:v>Not classified</x:v>
      </x:c>
      <x:c r="J42" s="42" t="str">
        <x:v>Not disclosed</x:v>
      </x:c>
      <x:c r="K42" s="45"/>
      <x:c r="L42" s="45"/>
      <x:c r="M42" s="42" t="str">
        <x:v>Not disclosed</x:v>
      </x:c>
      <x:c r="N42" s="46"/>
      <x:c r="O42" s="42" t="str">
        <x:v>Not applicable</x:v>
      </x:c>
      <x:c r="P42" s="42" t="str">
        <x:v>Not disclosed</x:v>
      </x:c>
      <x:c r="Q42" s="42" t="str">
        <x:v>Bonds</x:v>
      </x:c>
      <x:c r="R42" s="42" t="str">
        <x:v>Not disclosed</x:v>
      </x:c>
      <x:c r="S42" s="42" t="str">
        <x:v>Not disclosed</x:v>
      </x:c>
      <x:c r="T42" s="46"/>
      <x:c r="U42" s="42" t="str">
        <x:v>Not disclosed</x:v>
      </x:c>
      <x:c r="V42" s="46"/>
      <x:c r="W42" s="44"/>
      <x:c r="X42" s="42" t="str">
        <x:v>Not disclosed</x:v>
      </x:c>
      <x:c r="Y42" s="42"/>
      <x:c r="Z42" s="42"/>
      <x:c r="AA42" s="46"/>
      <x:c r="AB42" s="42" t="str">
        <x:v>Not applicable</x:v>
      </x:c>
      <x:c r="AC42" s="46"/>
      <x:c r="AD42" s="42" t="str">
        <x:v>Not disclosed</x:v>
      </x:c>
      <x:c r="AE42" s="45"/>
      <x:c r="AF42" s="45"/>
      <x:c r="AG42" s="44"/>
      <x:c r="AH42" s="42" t="str">
        <x:v>Not disclosed</x:v>
      </x:c>
      <x:c r="AI42" s="47"/>
      <x:c r="AJ42" s="47"/>
      <x:c r="AK42" s="42" t="str">
        <x:v>Not disclosed</x:v>
      </x:c>
      <x:c r="AL42" s="42" t="str">
        <x:v>Not disclosed</x:v>
      </x:c>
      <x:c r="AM42" s="42" t="str">
        <x:v>N/M: EV and aligned-currency financials are required</x:v>
      </x:c>
      <x:c r="AN42" s="42" t="str">
        <x:v>review</x:v>
      </x:c>
      <x:c r="AO42" s="42" t="n">
        <x:v>40</x:v>
      </x:c>
      <x:c r="AP42" s="42" t="str">
        <x:v>confirmed</x:v>
      </x:c>
      <x:c r="AQ42" s="42" t="n">
        <x:v>1</x:v>
      </x:c>
      <x:c r="AR42" s="42" t="str">
        <x:v>MOEX disclosure</x:v>
      </x:c>
      <x:c r="AS42" s="42" t="str">
        <x:v>https://www.moex.com/n101451</x:v>
      </x:c>
      <x:c r="AT42" s="42" t="str">
        <x:v>О проведении выкупа облигаций с 29 июня по 03 июля 2026 года</x:v>
      </x:c>
    </x:row>
    <x:row r="43">
      <x:c r="A43" s="42" t="str">
        <x:v>DL-moex-101450</x:v>
      </x:c>
      <x:c r="B43" s="44" t="n">
        <x:v>46199</x:v>
      </x:c>
      <x:c r="C43" s="42" t="str">
        <x:v>DCM</x:v>
      </x:c>
      <x:c r="D43" s="42" t="str">
        <x:v>technical_filing</x:v>
      </x:c>
      <x:c r="E43" s="42" t="str">
        <x:v>Confirmed</x:v>
      </x:c>
      <x:c r="F43" s="42" t="str">
        <x:v>Not disclosed</x:v>
      </x:c>
      <x:c r="G43" s="42" t="str">
        <x:v>Not applicable</x:v>
      </x:c>
      <x:c r="H43" s="42" t="str">
        <x:v>Not applicable</x:v>
      </x:c>
      <x:c r="I43" s="42" t="str">
        <x:v>Not classified</x:v>
      </x:c>
      <x:c r="J43" s="42" t="str">
        <x:v>Russia</x:v>
      </x:c>
      <x:c r="K43" s="45"/>
      <x:c r="L43" s="45"/>
      <x:c r="M43" s="42" t="str">
        <x:v>Not disclosed</x:v>
      </x:c>
      <x:c r="N43" s="46"/>
      <x:c r="O43" s="42" t="str">
        <x:v>Not applicable</x:v>
      </x:c>
      <x:c r="P43" s="42" t="str">
        <x:v>Not disclosed</x:v>
      </x:c>
      <x:c r="Q43" s="42" t="str">
        <x:v>Bonds</x:v>
      </x:c>
      <x:c r="R43" s="42" t="str">
        <x:v>Not disclosed</x:v>
      </x:c>
      <x:c r="S43" s="42" t="str">
        <x:v>Not disclosed</x:v>
      </x:c>
      <x:c r="T43" s="46"/>
      <x:c r="U43" s="42" t="str">
        <x:v>Not disclosed</x:v>
      </x:c>
      <x:c r="V43" s="46"/>
      <x:c r="W43" s="44"/>
      <x:c r="X43" s="42" t="str">
        <x:v>Not disclosed</x:v>
      </x:c>
      <x:c r="Y43" s="42"/>
      <x:c r="Z43" s="42"/>
      <x:c r="AA43" s="46"/>
      <x:c r="AB43" s="42" t="str">
        <x:v>Not applicable</x:v>
      </x:c>
      <x:c r="AC43" s="46"/>
      <x:c r="AD43" s="42" t="str">
        <x:v>Not disclosed</x:v>
      </x:c>
      <x:c r="AE43" s="45"/>
      <x:c r="AF43" s="45"/>
      <x:c r="AG43" s="44"/>
      <x:c r="AH43" s="42" t="str">
        <x:v>Not disclosed</x:v>
      </x:c>
      <x:c r="AI43" s="47"/>
      <x:c r="AJ43" s="47"/>
      <x:c r="AK43" s="42" t="str">
        <x:v>Not disclosed</x:v>
      </x:c>
      <x:c r="AL43" s="42" t="str">
        <x:v>Not disclosed</x:v>
      </x:c>
      <x:c r="AM43" s="42" t="str">
        <x:v>N/M: EV and aligned-currency financials are required</x:v>
      </x:c>
      <x:c r="AN43" s="42" t="str">
        <x:v>review</x:v>
      </x:c>
      <x:c r="AO43" s="42" t="n">
        <x:v>40</x:v>
      </x:c>
      <x:c r="AP43" s="42" t="str">
        <x:v>confirmed</x:v>
      </x:c>
      <x:c r="AQ43" s="42" t="n">
        <x:v>1</x:v>
      </x:c>
      <x:c r="AR43" s="42" t="str">
        <x:v>MOEX disclosure</x:v>
      </x:c>
      <x:c r="AS43" s="42" t="str">
        <x:v>https://www.moex.com/n101450</x:v>
      </x:c>
      <x:c r="AT43" s="42" t="str">
        <x:v>Дополнительные условия проведения торгов по выкупу облигаций серии 003Р-02 ООО "Концерн "РОССИУМ" 26 июня 2026 года</x:v>
      </x:c>
    </x:row>
    <x:row r="44">
      <x:c r="A44" s="42" t="str">
        <x:v>DL-bec65812ff9fcfae</x:v>
      </x:c>
      <x:c r="B44" s="44" t="n">
        <x:v>46197</x:v>
      </x:c>
      <x:c r="C44" s="42" t="str">
        <x:v>DCM</x:v>
      </x:c>
      <x:c r="D44" s="42" t="str">
        <x:v>watchlist</x:v>
      </x:c>
      <x:c r="E44" s="42" t="str">
        <x:v>Announced</x:v>
      </x:c>
      <x:c r="F44" s="42" t="str">
        <x:v>Selectel</x:v>
      </x:c>
      <x:c r="G44" s="42" t="str">
        <x:v>Not applicable</x:v>
      </x:c>
      <x:c r="H44" s="42" t="str">
        <x:v>Not applicable</x:v>
      </x:c>
      <x:c r="I44" s="42" t="str">
        <x:v>Not classified</x:v>
      </x:c>
      <x:c r="J44" s="42" t="str">
        <x:v>Russia</x:v>
      </x:c>
      <x:c r="K44" s="45" t="n">
        <x:v>5000000000</x:v>
      </x:c>
      <x:c r="L44" s="45"/>
      <x:c r="M44" s="42" t="str">
        <x:v>RUB</x:v>
      </x:c>
      <x:c r="N44" s="46"/>
      <x:c r="O44" s="42" t="str">
        <x:v>Not applicable</x:v>
      </x:c>
      <x:c r="P44" s="42"/>
      <x:c r="Q44" s="42" t="str">
        <x:v>Bonds</x:v>
      </x:c>
      <x:c r="R44" s="42" t="str">
        <x:v>Not disclosed</x:v>
      </x:c>
      <x:c r="S44" s="42" t="str">
        <x:v>Not disclosed</x:v>
      </x:c>
      <x:c r="T44" s="46"/>
      <x:c r="U44" s="42" t="str">
        <x:v>Not disclosed</x:v>
      </x:c>
      <x:c r="V44" s="46"/>
      <x:c r="W44" s="44"/>
      <x:c r="X44" s="42" t="str">
        <x:v>Not disclosed</x:v>
      </x:c>
      <x:c r="Y44" s="42"/>
      <x:c r="Z44" s="42"/>
      <x:c r="AA44" s="46"/>
      <x:c r="AB44" s="42" t="str">
        <x:v>Not applicable</x:v>
      </x:c>
      <x:c r="AC44" s="46"/>
      <x:c r="AD44" s="42" t="str">
        <x:v>рефинансирования и инвестиций</x:v>
      </x:c>
      <x:c r="AE44" s="45"/>
      <x:c r="AF44" s="45"/>
      <x:c r="AG44" s="44"/>
      <x:c r="AH44" s="42"/>
      <x:c r="AI44" s="47"/>
      <x:c r="AJ44" s="47"/>
      <x:c r="AK44" s="42" t="str">
        <x:v>Not disclosed</x:v>
      </x:c>
      <x:c r="AL44" s="42" t="str">
        <x:v>Not disclosed</x:v>
      </x:c>
      <x:c r="AM44" s="42" t="str">
        <x:v>N/M: EV and aligned-currency financials are required</x:v>
      </x:c>
      <x:c r="AN44" s="42" t="str">
        <x:v>review</x:v>
      </x:c>
      <x:c r="AO44" s="42" t="n">
        <x:v>75</x:v>
      </x:c>
      <x:c r="AP44" s="42" t="str">
        <x:v>unverified</x:v>
      </x:c>
      <x:c r="AQ44" s="42" t="n">
        <x:v>1</x:v>
      </x:c>
      <x:c r="AR44" s="42" t="str">
        <x:v>ComNews.ru</x:v>
      </x:c>
      <x:c r="AS44" s="42" t="str">
        <x:v>https://www.comnews.ru/content/246003/2026-06-25/2026-w26/1008/selectel-razmestit-obligacii-5-mlrd-rub-dlya-refinansirovaniya-i-investiciy</x:v>
      </x:c>
      <x:c r="AT44" s="42" t="str">
        <x:v>Selectel разместит облигации на 5 млрд руб.</x:v>
      </x:c>
    </x:row>
    <x:row r="45">
      <x:c r="A45" s="42" t="str">
        <x:v>DL-7a721642a53e0f1d</x:v>
      </x:c>
      <x:c r="B45" s="44" t="n">
        <x:v>46192</x:v>
      </x:c>
      <x:c r="C45" s="42" t="str">
        <x:v>DCM</x:v>
      </x:c>
      <x:c r="D45" s="42" t="str">
        <x:v>deal</x:v>
      </x:c>
      <x:c r="E45" s="42" t="str">
        <x:v>Issued</x:v>
      </x:c>
      <x:c r="F45" s="42" t="str">
        <x:v>Yandex</x:v>
      </x:c>
      <x:c r="G45" s="42" t="str">
        <x:v>Not applicable</x:v>
      </x:c>
      <x:c r="H45" s="42" t="str">
        <x:v>Not applicable</x:v>
      </x:c>
      <x:c r="I45" s="42" t="str">
        <x:v>Technology</x:v>
      </x:c>
      <x:c r="J45" s="42" t="str">
        <x:v>Russia</x:v>
      </x:c>
      <x:c r="K45" s="45" t="n">
        <x:v>60000000000</x:v>
      </x:c>
      <x:c r="L45" s="45"/>
      <x:c r="M45" s="42" t="str">
        <x:v>RUB</x:v>
      </x:c>
      <x:c r="N45" s="46"/>
      <x:c r="O45" s="42" t="str">
        <x:v>Not applicable</x:v>
      </x:c>
      <x:c r="P45" s="42" t="str">
        <x:v>Not disclosed</x:v>
      </x:c>
      <x:c r="Q45" s="42" t="str">
        <x:v>Bonds</x:v>
      </x:c>
      <x:c r="R45" s="42" t="str">
        <x:v>Not disclosed</x:v>
      </x:c>
      <x:c r="S45" s="42" t="str">
        <x:v>Not disclosed</x:v>
      </x:c>
      <x:c r="T45" s="46"/>
      <x:c r="U45" s="42" t="str">
        <x:v>Not disclosed</x:v>
      </x:c>
      <x:c r="V45" s="46"/>
      <x:c r="W45" s="44"/>
      <x:c r="X45" s="42" t="str">
        <x:v>Not disclosed</x:v>
      </x:c>
      <x:c r="Y45" s="42"/>
      <x:c r="Z45" s="42"/>
      <x:c r="AA45" s="46"/>
      <x:c r="AB45" s="42" t="str">
        <x:v>Not applicable</x:v>
      </x:c>
      <x:c r="AC45" s="46"/>
      <x:c r="AD45" s="42" t="str">
        <x:v>Not disclosed</x:v>
      </x:c>
      <x:c r="AE45" s="45"/>
      <x:c r="AF45" s="45"/>
      <x:c r="AG45" s="44"/>
      <x:c r="AH45" s="42" t="str">
        <x:v>Not disclosed</x:v>
      </x:c>
      <x:c r="AI45" s="47"/>
      <x:c r="AJ45" s="47"/>
      <x:c r="AK45" s="42" t="str">
        <x:v>Not disclosed</x:v>
      </x:c>
      <x:c r="AL45" s="42" t="str">
        <x:v>Not disclosed</x:v>
      </x:c>
      <x:c r="AM45" s="42" t="str">
        <x:v>N/M: EV and aligned-currency financials are required</x:v>
      </x:c>
      <x:c r="AN45" s="42" t="str">
        <x:v>approved</x:v>
      </x:c>
      <x:c r="AO45" s="42" t="n">
        <x:v>100</x:v>
      </x:c>
      <x:c r="AP45" s="42" t="str">
        <x:v>confirmed</x:v>
      </x:c>
      <x:c r="AQ45" s="42" t="n">
        <x:v>1</x:v>
      </x:c>
      <x:c r="AR45" s="42" t="str">
        <x:v>Yandex Investor Relations</x:v>
      </x:c>
      <x:c r="AS45" s="42" t="str">
        <x:v>https://ir.yandex.ru/press-releases?year=2026&amp;id=19-06-2026-03</x:v>
      </x:c>
      <x:c r="AT45" s="42" t="str">
        <x:v>Яндекс разместил два выпуска биржевых облигаций на общую сумму 60 млрд рублей</x:v>
      </x:c>
    </x:row>
    <x:row r="46">
      <x:c r="A46" s="42" t="str">
        <x:v>DL-9092ffd6a36a0a81</x:v>
      </x:c>
      <x:c r="B46" s="44" t="n">
        <x:v>46183</x:v>
      </x:c>
      <x:c r="C46" s="42" t="str">
        <x:v>DCM</x:v>
      </x:c>
      <x:c r="D46" s="42" t="str">
        <x:v>watchlist</x:v>
      </x:c>
      <x:c r="E46" s="42" t="str">
        <x:v>Reported</x:v>
      </x:c>
      <x:c r="F46" s="42" t="str">
        <x:v>Норникель</x:v>
      </x:c>
      <x:c r="G46" s="42" t="str">
        <x:v>Not applicable</x:v>
      </x:c>
      <x:c r="H46" s="42" t="str">
        <x:v>Not applicable</x:v>
      </x:c>
      <x:c r="I46" s="42" t="str">
        <x:v>Not classified</x:v>
      </x:c>
      <x:c r="J46" s="42" t="str">
        <x:v>Not disclosed</x:v>
      </x:c>
      <x:c r="K46" s="45" t="n">
        <x:v>3000000000</x:v>
      </x:c>
      <x:c r="L46" s="45"/>
      <x:c r="M46" s="42" t="str">
        <x:v>CNY</x:v>
      </x:c>
      <x:c r="N46" s="46"/>
      <x:c r="O46" s="42" t="str">
        <x:v>Not applicable</x:v>
      </x:c>
      <x:c r="P46" s="42" t="str">
        <x:v>Not disclosed</x:v>
      </x:c>
      <x:c r="Q46" s="42" t="str">
        <x:v>Bonds</x:v>
      </x:c>
      <x:c r="R46" s="42" t="str">
        <x:v>Not disclosed</x:v>
      </x:c>
      <x:c r="S46" s="42" t="str">
        <x:v>Not disclosed</x:v>
      </x:c>
      <x:c r="T46" s="46"/>
      <x:c r="U46" s="42" t="str">
        <x:v>Not disclosed</x:v>
      </x:c>
      <x:c r="V46" s="46"/>
      <x:c r="W46" s="44"/>
      <x:c r="X46" s="42" t="str">
        <x:v>Not disclosed</x:v>
      </x:c>
      <x:c r="Y46" s="42"/>
      <x:c r="Z46" s="42"/>
      <x:c r="AA46" s="46"/>
      <x:c r="AB46" s="42" t="str">
        <x:v>Not applicable</x:v>
      </x:c>
      <x:c r="AC46" s="46"/>
      <x:c r="AD46" s="42" t="str">
        <x:v>Not disclosed</x:v>
      </x:c>
      <x:c r="AE46" s="45"/>
      <x:c r="AF46" s="45"/>
      <x:c r="AG46" s="44"/>
      <x:c r="AH46" s="42" t="str">
        <x:v>Not disclosed</x:v>
      </x:c>
      <x:c r="AI46" s="47"/>
      <x:c r="AJ46" s="47"/>
      <x:c r="AK46" s="42" t="str">
        <x:v>Not disclosed</x:v>
      </x:c>
      <x:c r="AL46" s="42" t="str">
        <x:v>Not disclosed</x:v>
      </x:c>
      <x:c r="AM46" s="42" t="str">
        <x:v>N/M: EV and aligned-currency financials are required</x:v>
      </x:c>
      <x:c r="AN46" s="42" t="str">
        <x:v>review</x:v>
      </x:c>
      <x:c r="AO46" s="42" t="n">
        <x:v>67</x:v>
      </x:c>
      <x:c r="AP46" s="42" t="str">
        <x:v>unverified</x:v>
      </x:c>
      <x:c r="AQ46" s="42" t="n">
        <x:v>1</x:v>
      </x:c>
      <x:c r="AR46" s="42" t="str">
        <x:v>Интерфакс</x:v>
      </x:c>
      <x:c r="AS46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T46" s="42" t="str">
        <x:v>"Норникель" зафиксировал объем размещения облигаций на уровне 3 млрд юаней - Интерфакс</x:v>
      </x:c>
    </x:row>
    <x:row r="47">
      <x:c r="A47" s="42" t="str">
        <x:v>DL-f71ff729dc9f5af4</x:v>
      </x:c>
      <x:c r="B47" s="44" t="n">
        <x:v>46181</x:v>
      </x:c>
      <x:c r="C47" s="42" t="str">
        <x:v>DCM</x:v>
      </x:c>
      <x:c r="D47" s="42" t="str">
        <x:v>watchlist</x:v>
      </x:c>
      <x:c r="E47" s="42" t="str">
        <x:v>Reported</x:v>
      </x:c>
      <x:c r="F47" s="42" t="str">
        <x:v>Yandex</x:v>
      </x:c>
      <x:c r="G47" s="42" t="str">
        <x:v>Not applicable</x:v>
      </x:c>
      <x:c r="H47" s="42" t="str">
        <x:v>Not applicable</x:v>
      </x:c>
      <x:c r="I47" s="42" t="str">
        <x:v>Not classified</x:v>
      </x:c>
      <x:c r="J47" s="42" t="str">
        <x:v>Not disclosed</x:v>
      </x:c>
      <x:c r="K47" s="45"/>
      <x:c r="L47" s="45"/>
      <x:c r="M47" s="42" t="str">
        <x:v>Not disclosed</x:v>
      </x:c>
      <x:c r="N47" s="46"/>
      <x:c r="O47" s="42" t="str">
        <x:v>Not applicable</x:v>
      </x:c>
      <x:c r="P47" s="42" t="str">
        <x:v>Not disclosed</x:v>
      </x:c>
      <x:c r="Q47" s="42" t="str">
        <x:v>Bonds</x:v>
      </x:c>
      <x:c r="R47" s="42" t="str">
        <x:v>Not disclosed</x:v>
      </x:c>
      <x:c r="S47" s="42" t="str">
        <x:v>Not disclosed</x:v>
      </x:c>
      <x:c r="T47" s="46"/>
      <x:c r="U47" s="42" t="str">
        <x:v>Not disclosed</x:v>
      </x:c>
      <x:c r="V47" s="46"/>
      <x:c r="W47" s="44"/>
      <x:c r="X47" s="42" t="str">
        <x:v>Not disclosed</x:v>
      </x:c>
      <x:c r="Y47" s="42"/>
      <x:c r="Z47" s="42"/>
      <x:c r="AA47" s="46"/>
      <x:c r="AB47" s="42" t="str">
        <x:v>Not applicable</x:v>
      </x:c>
      <x:c r="AC47" s="46"/>
      <x:c r="AD47" s="42" t="str">
        <x:v>Not disclosed</x:v>
      </x:c>
      <x:c r="AE47" s="45"/>
      <x:c r="AF47" s="45"/>
      <x:c r="AG47" s="44"/>
      <x:c r="AH47" s="42" t="str">
        <x:v>Not disclosed</x:v>
      </x:c>
      <x:c r="AI47" s="47"/>
      <x:c r="AJ47" s="47"/>
      <x:c r="AK47" s="42" t="str">
        <x:v>Not disclosed</x:v>
      </x:c>
      <x:c r="AL47" s="42" t="str">
        <x:v>Not disclosed</x:v>
      </x:c>
      <x:c r="AM47" s="42" t="str">
        <x:v>N/M: EV and aligned-currency financials are required</x:v>
      </x:c>
      <x:c r="AN47" s="42" t="str">
        <x:v>rejected</x:v>
      </x:c>
      <x:c r="AO47" s="42" t="n">
        <x:v>15</x:v>
      </x:c>
      <x:c r="AP47" s="42" t="str">
        <x:v>unverified</x:v>
      </x:c>
      <x:c r="AQ47" s="42" t="n">
        <x:v>2</x:v>
      </x:c>
      <x:c r="AR47" s="42" t="str">
        <x:v>Финам</x:v>
      </x:c>
      <x:c r="AS47" s="42" t="str">
        <x:v>https://www.finam.ru/publications/item/yandeks-vnov-vykhodit-na-dolgovoy-rynok-razbor-dvoynogo-razmeshcheniya-obligatsiy-20260608-1729/</x:v>
      </x:c>
      <x:c r="AT47" s="42" t="str">
        <x:v>«Яндекс» вновь выходит на долговой рынок: разбор двойного размещения облигаций - Финам</x:v>
      </x:c>
    </x:row>
    <x:row r="48">
      <x:c r="A48" s="42" t="str">
        <x:v>DL-c0e4b0469b5eb473</x:v>
      </x:c>
      <x:c r="B48" s="44" t="n">
        <x:v>46177</x:v>
      </x:c>
      <x:c r="C48" s="42" t="str">
        <x:v>M&amp;A</x:v>
      </x:c>
      <x:c r="D48" s="42" t="str">
        <x:v>denial</x:v>
      </x:c>
      <x:c r="E48" s="42" t="str">
        <x:v>Denied</x:v>
      </x:c>
      <x:c r="F48" s="42" t="str">
        <x:v>Ozon</x:v>
      </x:c>
      <x:c r="G48" s="42" t="str">
        <x:v>Sber</x:v>
      </x:c>
      <x:c r="H48" s="42" t="str">
        <x:v>Not disclosed</x:v>
      </x:c>
      <x:c r="I48" s="42" t="str">
        <x:v>Not classified</x:v>
      </x:c>
      <x:c r="J48" s="42" t="str">
        <x:v>Russia</x:v>
      </x:c>
      <x:c r="K48" s="45"/>
      <x:c r="L48" s="45"/>
      <x:c r="M48" s="42" t="str">
        <x:v>Not disclosed</x:v>
      </x:c>
      <x:c r="N48" s="46"/>
      <x:c r="O48" s="42" t="str">
        <x:v>Shares</x:v>
      </x:c>
      <x:c r="P48" s="42" t="str">
        <x:v>Not disclosed</x:v>
      </x:c>
      <x:c r="Q48" s="42" t="str">
        <x:v>Acquisition / disposal</x:v>
      </x:c>
      <x:c r="R48" s="42" t="str">
        <x:v>Not applicable</x:v>
      </x:c>
      <x:c r="S48" s="42" t="str">
        <x:v>Not applicable</x:v>
      </x:c>
      <x:c r="T48" s="46"/>
      <x:c r="U48" s="42" t="str">
        <x:v>Not applicable</x:v>
      </x:c>
      <x:c r="V48" s="46"/>
      <x:c r="W48" s="44"/>
      <x:c r="X48" s="42" t="str">
        <x:v>Not applicable</x:v>
      </x:c>
      <x:c r="Y48" s="42"/>
      <x:c r="Z48" s="42"/>
      <x:c r="AA48" s="46"/>
      <x:c r="AB48" s="42" t="str">
        <x:v>Not applicable</x:v>
      </x:c>
      <x:c r="AC48" s="46"/>
      <x:c r="AD48" s="42" t="str">
        <x:v>Not disclosed</x:v>
      </x:c>
      <x:c r="AE48" s="45"/>
      <x:c r="AF48" s="45"/>
      <x:c r="AG48" s="44"/>
      <x:c r="AH48" s="42" t="str">
        <x:v>Not disclosed</x:v>
      </x:c>
      <x:c r="AI48" s="47"/>
      <x:c r="AJ48" s="47"/>
      <x:c r="AK48" s="42" t="str">
        <x:v>Not disclosed</x:v>
      </x:c>
      <x:c r="AL48" s="42" t="str">
        <x:v>Not disclosed</x:v>
      </x:c>
      <x:c r="AM48" s="42" t="str">
        <x:v>N/M: EV and aligned-currency financials are required</x:v>
      </x:c>
      <x:c r="AN48" s="42" t="str">
        <x:v>review</x:v>
      </x:c>
      <x:c r="AO48" s="42" t="n">
        <x:v>65</x:v>
      </x:c>
      <x:c r="AP48" s="42" t="str">
        <x:v>unverified</x:v>
      </x:c>
      <x:c r="AQ48" s="42" t="n">
        <x:v>12</x:v>
      </x:c>
      <x:c r="AR48" s="42" t="str">
        <x:v>БКС Экспресс</x:v>
      </x:c>
      <x:c r="AS48" s="42" t="str">
        <x:v>https://bcs-express.ru/novosti-i-analitika/gref-oproverg-dogovorennost-sbera-o-pokupke-doli-v-ozone</x:v>
      </x:c>
      <x:c r="AT48" s="42" t="str">
        <x:v>Греф опроверг договоренность Сбера о покупке доли в Озоне - БКС Экспресс</x:v>
      </x:c>
    </x:row>
    <x:row r="49">
      <x:c r="A49" s="42" t="str">
        <x:v>DL-5eba3b27a4e84dd3</x:v>
      </x:c>
      <x:c r="B49" s="44" t="n">
        <x:v>46175</x:v>
      </x:c>
      <x:c r="C49" s="42" t="str">
        <x:v>M&amp;A</x:v>
      </x:c>
      <x:c r="D49" s="42" t="str">
        <x:v>deal</x:v>
      </x:c>
      <x:c r="E49" s="42" t="str">
        <x:v>Closed</x:v>
      </x:c>
      <x:c r="F49" s="42" t="str">
        <x:v>Авто.ру</x:v>
      </x:c>
      <x:c r="G49" s="42" t="str">
        <x:v>Not disclosed</x:v>
      </x:c>
      <x:c r="H49" s="42" t="str">
        <x:v>Yandex</x:v>
      </x:c>
      <x:c r="I49" s="42" t="str">
        <x:v>Technology</x:v>
      </x:c>
      <x:c r="J49" s="42" t="str">
        <x:v>Russia</x:v>
      </x:c>
      <x:c r="K49" s="45" t="n">
        <x:v>35000000000</x:v>
      </x:c>
      <x:c r="L49" s="45"/>
      <x:c r="M49" s="42" t="str">
        <x:v>RUB</x:v>
      </x:c>
      <x:c r="N49" s="46"/>
      <x:c r="O49" s="42" t="str">
        <x:v>Not disclosed</x:v>
      </x:c>
      <x:c r="P49" s="42" t="str">
        <x:v>Not disclosed</x:v>
      </x:c>
      <x:c r="Q49" s="42" t="str">
        <x:v>Acquisition / disposal</x:v>
      </x:c>
      <x:c r="R49" s="42" t="str">
        <x:v>Not applicable</x:v>
      </x:c>
      <x:c r="S49" s="42" t="str">
        <x:v>Not applicable</x:v>
      </x:c>
      <x:c r="T49" s="46"/>
      <x:c r="U49" s="42" t="str">
        <x:v>Not applicable</x:v>
      </x:c>
      <x:c r="V49" s="46"/>
      <x:c r="W49" s="44"/>
      <x:c r="X49" s="42" t="str">
        <x:v>Not applicable</x:v>
      </x:c>
      <x:c r="Y49" s="42"/>
      <x:c r="Z49" s="42"/>
      <x:c r="AA49" s="46"/>
      <x:c r="AB49" s="42" t="str">
        <x:v>Not applicable</x:v>
      </x:c>
      <x:c r="AC49" s="46"/>
      <x:c r="AD49" s="42" t="str">
        <x:v>Not disclosed</x:v>
      </x:c>
      <x:c r="AE49" s="45"/>
      <x:c r="AF49" s="45"/>
      <x:c r="AG49" s="44"/>
      <x:c r="AH49" s="42" t="str">
        <x:v>Not disclosed</x:v>
      </x:c>
      <x:c r="AI49" s="47"/>
      <x:c r="AJ49" s="47"/>
      <x:c r="AK49" s="42" t="str">
        <x:v>Not disclosed</x:v>
      </x:c>
      <x:c r="AL49" s="42" t="str">
        <x:v>Not disclosed</x:v>
      </x:c>
      <x:c r="AM49" s="42" t="str">
        <x:v>N/M: EV and aligned-currency financials are required</x:v>
      </x:c>
      <x:c r="AN49" s="42" t="str">
        <x:v>review</x:v>
      </x:c>
      <x:c r="AO49" s="42" t="n">
        <x:v>85</x:v>
      </x:c>
      <x:c r="AP49" s="42" t="str">
        <x:v>confirmed</x:v>
      </x:c>
      <x:c r="AQ49" s="42" t="n">
        <x:v>5</x:v>
      </x:c>
      <x:c r="AR49" s="42" t="str">
        <x:v>Yandex Investor Relations</x:v>
      </x:c>
      <x:c r="AS49" s="42" t="str">
        <x:v>https://ir.yandex.ru/press-releases?year=2026&amp;id=02-06-2026-04</x:v>
      </x:c>
      <x:c r="AT49" s="42" t="str">
        <x:v>Яндекс закрыл сделку по продаже Авто.ру</x:v>
      </x:c>
    </x:row>
    <x:row r="50">
      <x:c r="A50" s="42" t="str">
        <x:v>DL-e08040bba3b952c1</x:v>
      </x:c>
      <x:c r="B50" s="44" t="n">
        <x:v>46170</x:v>
      </x:c>
      <x:c r="C50" s="42" t="str">
        <x:v>M&amp;A</x:v>
      </x:c>
      <x:c r="D50" s="42" t="str">
        <x:v>watchlist</x:v>
      </x:c>
      <x:c r="E50" s="42" t="str">
        <x:v>Rumor</x:v>
      </x:c>
      <x:c r="F50" s="42" t="str">
        <x:v>Островок</x:v>
      </x:c>
      <x:c r="G50" s="42" t="str">
        <x:v>Yandex</x:v>
      </x:c>
      <x:c r="H50" s="42" t="str">
        <x:v>Not disclosed</x:v>
      </x:c>
      <x:c r="I50" s="42" t="str">
        <x:v>Not classified</x:v>
      </x:c>
      <x:c r="J50" s="42" t="str">
        <x:v>Not disclosed</x:v>
      </x:c>
      <x:c r="K50" s="45"/>
      <x:c r="L50" s="45"/>
      <x:c r="M50" s="42" t="str">
        <x:v>Not disclosed</x:v>
      </x:c>
      <x:c r="N50" s="46"/>
      <x:c r="O50" s="42" t="str">
        <x:v>Not disclosed</x:v>
      </x:c>
      <x:c r="P50" s="42" t="str">
        <x:v>Not disclosed</x:v>
      </x:c>
      <x:c r="Q50" s="42" t="str">
        <x:v>Acquisition / disposal</x:v>
      </x:c>
      <x:c r="R50" s="42" t="str">
        <x:v>Not applicable</x:v>
      </x:c>
      <x:c r="S50" s="42" t="str">
        <x:v>Not applicable</x:v>
      </x:c>
      <x:c r="T50" s="46"/>
      <x:c r="U50" s="42" t="str">
        <x:v>Not applicable</x:v>
      </x:c>
      <x:c r="V50" s="46"/>
      <x:c r="W50" s="44"/>
      <x:c r="X50" s="42" t="str">
        <x:v>Not applicable</x:v>
      </x:c>
      <x:c r="Y50" s="42"/>
      <x:c r="Z50" s="42"/>
      <x:c r="AA50" s="46"/>
      <x:c r="AB50" s="42" t="str">
        <x:v>Not applicable</x:v>
      </x:c>
      <x:c r="AC50" s="46"/>
      <x:c r="AD50" s="42" t="str">
        <x:v>Not disclosed</x:v>
      </x:c>
      <x:c r="AE50" s="45"/>
      <x:c r="AF50" s="45"/>
      <x:c r="AG50" s="44"/>
      <x:c r="AH50" s="42" t="str">
        <x:v>Not disclosed</x:v>
      </x:c>
      <x:c r="AI50" s="47"/>
      <x:c r="AJ50" s="47"/>
      <x:c r="AK50" s="42" t="str">
        <x:v>Not disclosed</x:v>
      </x:c>
      <x:c r="AL50" s="42" t="str">
        <x:v>Not disclosed</x:v>
      </x:c>
      <x:c r="AM50" s="42" t="str">
        <x:v>N/M: EV and aligned-currency financials are required</x:v>
      </x:c>
      <x:c r="AN50" s="42" t="str">
        <x:v>review</x:v>
      </x:c>
      <x:c r="AO50" s="42" t="n">
        <x:v>67</x:v>
      </x:c>
      <x:c r="AP50" s="42" t="str">
        <x:v>unverified</x:v>
      </x:c>
      <x:c r="AQ50" s="42" t="n">
        <x:v>2</x:v>
      </x:c>
      <x:c r="AR50" s="42" t="str">
        <x:v>Финам</x:v>
      </x:c>
      <x:c r="AS50" s="42" t="str">
        <x:v>https://www.finam.ru/publications/item/yandeks-stal-osnovnym-pretendentom-na-pokupku-ostrovka-20260528-0928/</x:v>
      </x:c>
      <x:c r="AT50" s="42" t="str">
        <x:v>"Яндекс" стал основным претендентом на покупку "Островка" - Финам</x:v>
      </x:c>
    </x:row>
    <x:row r="51">
      <x:c r="A51" s="42" t="str">
        <x:v>DL-54c26c1e05d520bd</x:v>
      </x:c>
      <x:c r="B51" s="44" t="n">
        <x:v>46167</x:v>
      </x:c>
      <x:c r="C51" s="42" t="str">
        <x:v>M&amp;A</x:v>
      </x:c>
      <x:c r="D51" s="42" t="str">
        <x:v>watchlist</x:v>
      </x:c>
      <x:c r="E51" s="42" t="str">
        <x:v>Reported</x:v>
      </x:c>
      <x:c r="F51" s="42" t="str">
        <x:v>Not disclosed</x:v>
      </x:c>
      <x:c r="G51" s="42" t="str">
        <x:v>Not disclosed</x:v>
      </x:c>
      <x:c r="H51" s="42" t="str">
        <x:v>Not disclosed</x:v>
      </x:c>
      <x:c r="I51" s="42" t="str">
        <x:v>Not classified</x:v>
      </x:c>
      <x:c r="J51" s="42" t="str">
        <x:v>Not disclosed</x:v>
      </x:c>
      <x:c r="K51" s="45"/>
      <x:c r="L51" s="45"/>
      <x:c r="M51" s="42" t="str">
        <x:v>Not disclosed</x:v>
      </x:c>
      <x:c r="N51" s="46"/>
      <x:c r="O51" s="42" t="str">
        <x:v>Shares</x:v>
      </x:c>
      <x:c r="P51" s="42" t="str">
        <x:v>Not disclosed</x:v>
      </x:c>
      <x:c r="Q51" s="42" t="str">
        <x:v>Acquisition / disposal</x:v>
      </x:c>
      <x:c r="R51" s="42" t="str">
        <x:v>Not applicable</x:v>
      </x:c>
      <x:c r="S51" s="42" t="str">
        <x:v>Not applicable</x:v>
      </x:c>
      <x:c r="T51" s="46"/>
      <x:c r="U51" s="42" t="str">
        <x:v>Not applicable</x:v>
      </x:c>
      <x:c r="V51" s="46"/>
      <x:c r="W51" s="44"/>
      <x:c r="X51" s="42" t="str">
        <x:v>Not applicable</x:v>
      </x:c>
      <x:c r="Y51" s="42"/>
      <x:c r="Z51" s="42"/>
      <x:c r="AA51" s="46"/>
      <x:c r="AB51" s="42" t="str">
        <x:v>Not applicable</x:v>
      </x:c>
      <x:c r="AC51" s="46"/>
      <x:c r="AD51" s="42" t="str">
        <x:v>Not disclosed</x:v>
      </x:c>
      <x:c r="AE51" s="45"/>
      <x:c r="AF51" s="45"/>
      <x:c r="AG51" s="44"/>
      <x:c r="AH51" s="42" t="str">
        <x:v>Not disclosed</x:v>
      </x:c>
      <x:c r="AI51" s="47"/>
      <x:c r="AJ51" s="47"/>
      <x:c r="AK51" s="42" t="str">
        <x:v>Not disclosed</x:v>
      </x:c>
      <x:c r="AL51" s="42" t="str">
        <x:v>Not disclosed</x:v>
      </x:c>
      <x:c r="AM51" s="42" t="str">
        <x:v>N/M: EV and aligned-currency financials are required</x:v>
      </x:c>
      <x:c r="AN51" s="42" t="str">
        <x:v>rejected</x:v>
      </x:c>
      <x:c r="AO51" s="42" t="n">
        <x:v>0</x:v>
      </x:c>
      <x:c r="AP51" s="42" t="str">
        <x:v>unverified</x:v>
      </x:c>
      <x:c r="AQ51" s="42" t="n">
        <x:v>2</x:v>
      </x:c>
      <x:c r="AR51" s="42" t="str">
        <x:v>Финам</x:v>
      </x:c>
      <x:c r="AS51" s="42" t="str">
        <x:v>https://www.finam.ru/publications/item/posledniy-den-pokupki-aktsiy-ozona-pod-dividendy-25-maya-20260525-0652/</x:v>
      </x:c>
      <x:c r="AT51" s="42" t="str">
        <x:v>25.05.26 Последний день покупки акций “Озона” под дивиденды - 25 мая - Финам</x:v>
      </x:c>
    </x:row>
    <x:row r="52">
      <x:c r="A52" s="42" t="str">
        <x:v>DL-71b6decbb78f4293</x:v>
      </x:c>
      <x:c r="B52" s="44" t="n">
        <x:v>46162</x:v>
      </x:c>
      <x:c r="C52" s="42" t="str">
        <x:v>ECM</x:v>
      </x:c>
      <x:c r="D52" s="42" t="str">
        <x:v>watchlist</x:v>
      </x:c>
      <x:c r="E52" s="42" t="str">
        <x:v>Reported</x:v>
      </x:c>
      <x:c r="F52" s="42" t="str">
        <x:v>Ozon</x:v>
      </x:c>
      <x:c r="G52" s="42" t="str">
        <x:v>Not applicable</x:v>
      </x:c>
      <x:c r="H52" s="42" t="str">
        <x:v>Not applicable</x:v>
      </x:c>
      <x:c r="I52" s="42" t="str">
        <x:v>Not classified</x:v>
      </x:c>
      <x:c r="J52" s="42" t="str">
        <x:v>Not disclosed</x:v>
      </x:c>
      <x:c r="K52" s="45"/>
      <x:c r="L52" s="45"/>
      <x:c r="M52" s="42" t="str">
        <x:v>Not disclosed</x:v>
      </x:c>
      <x:c r="N52" s="46"/>
      <x:c r="O52" s="42" t="str">
        <x:v>Not applicable</x:v>
      </x:c>
      <x:c r="P52" s="42" t="str">
        <x:v>Not disclosed</x:v>
      </x:c>
      <x:c r="Q52" s="42" t="str">
        <x:v>Equity issuance</x:v>
      </x:c>
      <x:c r="R52" s="42" t="str">
        <x:v>Not applicable</x:v>
      </x:c>
      <x:c r="S52" s="42" t="str">
        <x:v>Not applicable</x:v>
      </x:c>
      <x:c r="T52" s="46"/>
      <x:c r="U52" s="42" t="str">
        <x:v>Not applicable</x:v>
      </x:c>
      <x:c r="V52" s="46"/>
      <x:c r="W52" s="44"/>
      <x:c r="X52" s="42" t="str">
        <x:v>Not applicable</x:v>
      </x:c>
      <x:c r="Y52" s="42"/>
      <x:c r="Z52" s="42"/>
      <x:c r="AA52" s="46"/>
      <x:c r="AB52" s="42" t="str">
        <x:v>Not disclosed</x:v>
      </x:c>
      <x:c r="AC52" s="46"/>
      <x:c r="AD52" s="42" t="str">
        <x:v>Not disclosed</x:v>
      </x:c>
      <x:c r="AE52" s="45"/>
      <x:c r="AF52" s="45"/>
      <x:c r="AG52" s="44"/>
      <x:c r="AH52" s="42" t="str">
        <x:v>Not disclosed</x:v>
      </x:c>
      <x:c r="AI52" s="47"/>
      <x:c r="AJ52" s="47"/>
      <x:c r="AK52" s="42" t="str">
        <x:v>Not disclosed</x:v>
      </x:c>
      <x:c r="AL52" s="42" t="str">
        <x:v>Not disclosed</x:v>
      </x:c>
      <x:c r="AM52" s="42" t="str">
        <x:v>N/M: EV and aligned-currency financials are required</x:v>
      </x:c>
      <x:c r="AN52" s="42" t="str">
        <x:v>rejected</x:v>
      </x:c>
      <x:c r="AO52" s="42" t="n">
        <x:v>15</x:v>
      </x:c>
      <x:c r="AP52" s="42" t="str">
        <x:v>unverified</x:v>
      </x:c>
      <x:c r="AQ52" s="42" t="n">
        <x:v>2</x:v>
      </x:c>
      <x:c r="AR52" s="42" t="str">
        <x:v>БКС Экспресс</x:v>
      </x:c>
      <x:c r="AS52" s="42" t="str">
        <x:v>https://bcs-express.ru/novosti-i-analitika/aktsionery-ozon-utverdili-final-nye-dividendy-za-2025</x:v>
      </x:c>
      <x:c r="AT52" s="42" t="str">
        <x:v>Акционеры Озона утвердили финальные дивиденды за 2025 - БКС Экспресс</x:v>
      </x:c>
    </x:row>
    <x:row r="53">
      <x:c r="A53" s="42" t="str">
        <x:v>DL-38b5154e2b53df8c</x:v>
      </x:c>
      <x:c r="B53" s="44" t="n">
        <x:v>46157</x:v>
      </x:c>
      <x:c r="C53" s="42" t="str">
        <x:v>ECM</x:v>
      </x:c>
      <x:c r="D53" s="42" t="str">
        <x:v>watchlist</x:v>
      </x:c>
      <x:c r="E53" s="42" t="str">
        <x:v>Reported</x:v>
      </x:c>
      <x:c r="F53" s="42" t="str">
        <x:v>Ozon</x:v>
      </x:c>
      <x:c r="G53" s="42" t="str">
        <x:v>Not applicable</x:v>
      </x:c>
      <x:c r="H53" s="42" t="str">
        <x:v>Not applicable</x:v>
      </x:c>
      <x:c r="I53" s="42" t="str">
        <x:v>Financials</x:v>
      </x:c>
      <x:c r="J53" s="42" t="str">
        <x:v>Not disclosed</x:v>
      </x:c>
      <x:c r="K53" s="45"/>
      <x:c r="L53" s="45"/>
      <x:c r="M53" s="42" t="str">
        <x:v>Not disclosed</x:v>
      </x:c>
      <x:c r="N53" s="46"/>
      <x:c r="O53" s="42" t="str">
        <x:v>Not applicable</x:v>
      </x:c>
      <x:c r="P53" s="42" t="str">
        <x:v>Not disclosed</x:v>
      </x:c>
      <x:c r="Q53" s="42" t="str">
        <x:v>Equity issuance</x:v>
      </x:c>
      <x:c r="R53" s="42" t="str">
        <x:v>Not applicable</x:v>
      </x:c>
      <x:c r="S53" s="42" t="str">
        <x:v>Not applicable</x:v>
      </x:c>
      <x:c r="T53" s="46"/>
      <x:c r="U53" s="42" t="str">
        <x:v>Not applicable</x:v>
      </x:c>
      <x:c r="V53" s="46"/>
      <x:c r="W53" s="44"/>
      <x:c r="X53" s="42" t="str">
        <x:v>Not applicable</x:v>
      </x:c>
      <x:c r="Y53" s="42"/>
      <x:c r="Z53" s="42"/>
      <x:c r="AA53" s="46"/>
      <x:c r="AB53" s="42" t="str">
        <x:v>Not disclosed</x:v>
      </x:c>
      <x:c r="AC53" s="46"/>
      <x:c r="AD53" s="42" t="str">
        <x:v>Not disclosed</x:v>
      </x:c>
      <x:c r="AE53" s="45"/>
      <x:c r="AF53" s="45"/>
      <x:c r="AG53" s="44"/>
      <x:c r="AH53" s="42" t="str">
        <x:v>Not disclosed</x:v>
      </x:c>
      <x:c r="AI53" s="47"/>
      <x:c r="AJ53" s="47"/>
      <x:c r="AK53" s="42" t="str">
        <x:v>Not disclosed</x:v>
      </x:c>
      <x:c r="AL53" s="42" t="str">
        <x:v>Not disclosed</x:v>
      </x:c>
      <x:c r="AM53" s="42" t="str">
        <x:v>N/M: EV and aligned-currency financials are required</x:v>
      </x:c>
      <x:c r="AN53" s="42" t="str">
        <x:v>rejected</x:v>
      </x:c>
      <x:c r="AO53" s="42" t="n">
        <x:v>15</x:v>
      </x:c>
      <x:c r="AP53" s="42" t="str">
        <x:v>unverified</x:v>
      </x:c>
      <x:c r="AQ53" s="42" t="n">
        <x:v>2</x:v>
      </x:c>
      <x:c r="AR53" s="42" t="str">
        <x:v>Финам</x:v>
      </x:c>
      <x:c r="AS53" s="42" t="str">
        <x:v>https://www.finam.ru/publications/item/otchetnosti-zaymera-bsp-i-sovkombanka-dividendnyy-vopros-u-ozona-i-md-medikal-osnovnye-sobytiya-15-maya-20260515-0900/</x:v>
      </x:c>
      <x:c r="AT53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54">
      <x:c r="A54" s="42" t="str">
        <x:v>DL-32f044efd41bc454</x:v>
      </x:c>
      <x:c r="B54" s="44" t="n">
        <x:v>46157</x:v>
      </x:c>
      <x:c r="C54" s="42" t="str">
        <x:v>M&amp;A</x:v>
      </x:c>
      <x:c r="D54" s="42" t="str">
        <x:v>watchlist</x:v>
      </x:c>
      <x:c r="E54" s="42" t="str">
        <x:v>Reported</x:v>
      </x:c>
      <x:c r="F54" s="42" t="str">
        <x:v>Not disclosed</x:v>
      </x:c>
      <x:c r="G54" s="42" t="str">
        <x:v>Not disclosed</x:v>
      </x:c>
      <x:c r="H54" s="42" t="str">
        <x:v>Not disclosed</x:v>
      </x:c>
      <x:c r="I54" s="42" t="str">
        <x:v>Not classified</x:v>
      </x:c>
      <x:c r="J54" s="42" t="str">
        <x:v>Not disclosed</x:v>
      </x:c>
      <x:c r="K54" s="45"/>
      <x:c r="L54" s="45"/>
      <x:c r="M54" s="42" t="str">
        <x:v>Not disclosed</x:v>
      </x:c>
      <x:c r="N54" s="46"/>
      <x:c r="O54" s="42" t="str">
        <x:v>Shares</x:v>
      </x:c>
      <x:c r="P54" s="42" t="str">
        <x:v>Not disclosed</x:v>
      </x:c>
      <x:c r="Q54" s="42" t="str">
        <x:v>Acquisition / disposal</x:v>
      </x:c>
      <x:c r="R54" s="42" t="str">
        <x:v>Not applicable</x:v>
      </x:c>
      <x:c r="S54" s="42" t="str">
        <x:v>Not applicable</x:v>
      </x:c>
      <x:c r="T54" s="46"/>
      <x:c r="U54" s="42" t="str">
        <x:v>Not applicable</x:v>
      </x:c>
      <x:c r="V54" s="46"/>
      <x:c r="W54" s="44"/>
      <x:c r="X54" s="42" t="str">
        <x:v>Not applicable</x:v>
      </x:c>
      <x:c r="Y54" s="42"/>
      <x:c r="Z54" s="42"/>
      <x:c r="AA54" s="46"/>
      <x:c r="AB54" s="42" t="str">
        <x:v>Not applicable</x:v>
      </x:c>
      <x:c r="AC54" s="46"/>
      <x:c r="AD54" s="42" t="str">
        <x:v>Not disclosed</x:v>
      </x:c>
      <x:c r="AE54" s="45"/>
      <x:c r="AF54" s="45"/>
      <x:c r="AG54" s="44"/>
      <x:c r="AH54" s="42" t="str">
        <x:v>Not disclosed</x:v>
      </x:c>
      <x:c r="AI54" s="47"/>
      <x:c r="AJ54" s="47"/>
      <x:c r="AK54" s="42" t="str">
        <x:v>Not disclosed</x:v>
      </x:c>
      <x:c r="AL54" s="42" t="str">
        <x:v>Not disclosed</x:v>
      </x:c>
      <x:c r="AM54" s="42" t="str">
        <x:v>N/M: EV and aligned-currency financials are required</x:v>
      </x:c>
      <x:c r="AN54" s="42" t="str">
        <x:v>rejected</x:v>
      </x:c>
      <x:c r="AO54" s="42" t="n">
        <x:v>0</x:v>
      </x:c>
      <x:c r="AP54" s="42" t="str">
        <x:v>unverified</x:v>
      </x:c>
      <x:c r="AQ54" s="42" t="n">
        <x:v>1</x:v>
      </x:c>
      <x:c r="AR54" s="42" t="str">
        <x:v>Интерфакс</x:v>
      </x:c>
      <x:c r="AS54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T54" s="42" t="str">
        <x:v>Трамп в I квартале совершал сделки с акциями Nvidia и Boeing - Интерфакс</x:v>
      </x:c>
    </x:row>
    <x:row r="55">
      <x:c r="A55" s="42" t="str">
        <x:v>DL-71608263fecb5e53</x:v>
      </x:c>
      <x:c r="B55" s="44" t="n">
        <x:v>46150</x:v>
      </x:c>
      <x:c r="C55" s="42" t="str">
        <x:v>DCM</x:v>
      </x:c>
      <x:c r="D55" s="42" t="str">
        <x:v>watchlist</x:v>
      </x:c>
      <x:c r="E55" s="42" t="str">
        <x:v>Reported</x:v>
      </x:c>
      <x:c r="F55" s="42" t="str">
        <x:v>Делимобиль</x:v>
      </x:c>
      <x:c r="G55" s="42" t="str">
        <x:v>Not applicable</x:v>
      </x:c>
      <x:c r="H55" s="42" t="str">
        <x:v>Not applicable</x:v>
      </x:c>
      <x:c r="I55" s="42" t="str">
        <x:v>Not classified</x:v>
      </x:c>
      <x:c r="J55" s="42" t="str">
        <x:v>Russia</x:v>
      </x:c>
      <x:c r="K55" s="45" t="n">
        <x:v>1900000000</x:v>
      </x:c>
      <x:c r="L55" s="45"/>
      <x:c r="M55" s="42" t="str">
        <x:v>RUB</x:v>
      </x:c>
      <x:c r="N55" s="46"/>
      <x:c r="O55" s="42" t="str">
        <x:v>Not applicable</x:v>
      </x:c>
      <x:c r="P55" s="42" t="str">
        <x:v>Not disclosed</x:v>
      </x:c>
      <x:c r="Q55" s="42" t="str">
        <x:v>Bonds</x:v>
      </x:c>
      <x:c r="R55" s="42" t="str">
        <x:v>Not disclosed</x:v>
      </x:c>
      <x:c r="S55" s="42" t="str">
        <x:v>Not disclosed</x:v>
      </x:c>
      <x:c r="T55" s="46"/>
      <x:c r="U55" s="42" t="str">
        <x:v>Not disclosed</x:v>
      </x:c>
      <x:c r="V55" s="46"/>
      <x:c r="W55" s="44"/>
      <x:c r="X55" s="42" t="str">
        <x:v>Not disclosed</x:v>
      </x:c>
      <x:c r="Y55" s="42"/>
      <x:c r="Z55" s="42"/>
      <x:c r="AA55" s="46"/>
      <x:c r="AB55" s="42" t="str">
        <x:v>Not applicable</x:v>
      </x:c>
      <x:c r="AC55" s="46"/>
      <x:c r="AD55" s="42" t="str">
        <x:v>Not disclosed</x:v>
      </x:c>
      <x:c r="AE55" s="45"/>
      <x:c r="AF55" s="45"/>
      <x:c r="AG55" s="44"/>
      <x:c r="AH55" s="42" t="str">
        <x:v>Not disclosed</x:v>
      </x:c>
      <x:c r="AI55" s="47"/>
      <x:c r="AJ55" s="47"/>
      <x:c r="AK55" s="42" t="str">
        <x:v>Not disclosed</x:v>
      </x:c>
      <x:c r="AL55" s="42" t="str">
        <x:v>Not disclosed</x:v>
      </x:c>
      <x:c r="AM55" s="42" t="str">
        <x:v>N/M: EV and aligned-currency financials are required</x:v>
      </x:c>
      <x:c r="AN55" s="42" t="str">
        <x:v>rejected</x:v>
      </x:c>
      <x:c r="AO55" s="42" t="n">
        <x:v>7</x:v>
      </x:c>
      <x:c r="AP55" s="42" t="str">
        <x:v>unverified</x:v>
      </x:c>
      <x:c r="AQ55" s="42" t="n">
        <x:v>1</x:v>
      </x:c>
      <x:c r="AR55" s="42" t="str">
        <x:v>Интерфакс</x:v>
      </x:c>
      <x:c r="AS55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T55" s="42" t="str">
        <x:v>"Делимобиль" перечислил в НРД средства для погашения выпуска облигаций на 1,9 млрд рублей - Интерфакс</x:v>
      </x:c>
    </x:row>
    <x:row r="56">
      <x:c r="A56" s="42" t="str">
        <x:v>DL-2848bdd8b067faa2</x:v>
      </x:c>
      <x:c r="B56" s="44" t="n">
        <x:v>46147</x:v>
      </x:c>
      <x:c r="C56" s="42" t="str">
        <x:v>ECM</x:v>
      </x:c>
      <x:c r="D56" s="42" t="str">
        <x:v>watchlist</x:v>
      </x:c>
      <x:c r="E56" s="42" t="str">
        <x:v>Reported</x:v>
      </x:c>
      <x:c r="F56" s="42" t="str">
        <x:v>Yandex</x:v>
      </x:c>
      <x:c r="G56" s="42" t="str">
        <x:v>Not applicable</x:v>
      </x:c>
      <x:c r="H56" s="42" t="str">
        <x:v>Not applicable</x:v>
      </x:c>
      <x:c r="I56" s="42" t="str">
        <x:v>Not classified</x:v>
      </x:c>
      <x:c r="J56" s="42" t="str">
        <x:v>Russia</x:v>
      </x:c>
      <x:c r="K56" s="45" t="n">
        <x:v>50000000000</x:v>
      </x:c>
      <x:c r="L56" s="45"/>
      <x:c r="M56" s="42" t="str">
        <x:v>RUB</x:v>
      </x:c>
      <x:c r="N56" s="46"/>
      <x:c r="O56" s="42" t="str">
        <x:v>Not applicable</x:v>
      </x:c>
      <x:c r="P56" s="42" t="str">
        <x:v>Not disclosed</x:v>
      </x:c>
      <x:c r="Q56" s="42" t="str">
        <x:v>Equity issuance</x:v>
      </x:c>
      <x:c r="R56" s="42" t="str">
        <x:v>Not applicable</x:v>
      </x:c>
      <x:c r="S56" s="42" t="str">
        <x:v>Not applicable</x:v>
      </x:c>
      <x:c r="T56" s="46"/>
      <x:c r="U56" s="42" t="str">
        <x:v>Not applicable</x:v>
      </x:c>
      <x:c r="V56" s="46"/>
      <x:c r="W56" s="44"/>
      <x:c r="X56" s="42" t="str">
        <x:v>Not applicable</x:v>
      </x:c>
      <x:c r="Y56" s="42"/>
      <x:c r="Z56" s="42"/>
      <x:c r="AA56" s="46"/>
      <x:c r="AB56" s="42" t="str">
        <x:v>Not disclosed</x:v>
      </x:c>
      <x:c r="AC56" s="46"/>
      <x:c r="AD56" s="42" t="str">
        <x:v>Not disclosed</x:v>
      </x:c>
      <x:c r="AE56" s="45"/>
      <x:c r="AF56" s="45"/>
      <x:c r="AG56" s="44"/>
      <x:c r="AH56" s="42" t="str">
        <x:v>Not disclosed</x:v>
      </x:c>
      <x:c r="AI56" s="47"/>
      <x:c r="AJ56" s="47"/>
      <x:c r="AK56" s="42" t="str">
        <x:v>Not disclosed</x:v>
      </x:c>
      <x:c r="AL56" s="42" t="str">
        <x:v>Not disclosed</x:v>
      </x:c>
      <x:c r="AM56" s="42" t="str">
        <x:v>N/M: EV and aligned-currency financials are required</x:v>
      </x:c>
      <x:c r="AN56" s="42" t="str">
        <x:v>review</x:v>
      </x:c>
      <x:c r="AO56" s="42" t="n">
        <x:v>75</x:v>
      </x:c>
      <x:c r="AP56" s="42" t="str">
        <x:v>unverified</x:v>
      </x:c>
      <x:c r="AQ56" s="42" t="n">
        <x:v>2</x:v>
      </x:c>
      <x:c r="AR56" s="42" t="str">
        <x:v>БКС Экспресс</x:v>
      </x:c>
      <x:c r="AS56" s="42" t="str">
        <x:v>https://bcs-express.ru/novosti-i-analitika/iandeks-odobril-vykup-aktsii-na-50-mlrd-rublei</x:v>
      </x:c>
      <x:c r="AT56" s="42" t="str">
        <x:v>Яндекс одобрил выкуп акций на 50 млрд рублей - БКС Экспресс</x:v>
      </x:c>
    </x:row>
    <x:row r="57">
      <x:c r="A57" s="42" t="str">
        <x:v>DL-3d4a31cc3b7936d0</x:v>
      </x:c>
      <x:c r="B57" s="44" t="n">
        <x:v>46146</x:v>
      </x:c>
      <x:c r="C57" s="42" t="str">
        <x:v>ECM</x:v>
      </x:c>
      <x:c r="D57" s="42" t="str">
        <x:v>watchlist</x:v>
      </x:c>
      <x:c r="E57" s="42" t="str">
        <x:v>Reported</x:v>
      </x:c>
      <x:c r="F57" s="42" t="str">
        <x:v>Yandex</x:v>
      </x:c>
      <x:c r="G57" s="42" t="str">
        <x:v>Not applicable</x:v>
      </x:c>
      <x:c r="H57" s="42" t="str">
        <x:v>Not applicable</x:v>
      </x:c>
      <x:c r="I57" s="42" t="str">
        <x:v>Energy</x:v>
      </x:c>
      <x:c r="J57" s="42" t="str">
        <x:v>Not disclosed</x:v>
      </x:c>
      <x:c r="K57" s="45"/>
      <x:c r="L57" s="45"/>
      <x:c r="M57" s="42" t="str">
        <x:v>Not disclosed</x:v>
      </x:c>
      <x:c r="N57" s="46"/>
      <x:c r="O57" s="42" t="str">
        <x:v>Not applicable</x:v>
      </x:c>
      <x:c r="P57" s="42" t="str">
        <x:v>Not disclosed</x:v>
      </x:c>
      <x:c r="Q57" s="42" t="str">
        <x:v>Equity issuance</x:v>
      </x:c>
      <x:c r="R57" s="42" t="str">
        <x:v>Not applicable</x:v>
      </x:c>
      <x:c r="S57" s="42" t="str">
        <x:v>Not applicable</x:v>
      </x:c>
      <x:c r="T57" s="46"/>
      <x:c r="U57" s="42" t="str">
        <x:v>Not applicable</x:v>
      </x:c>
      <x:c r="V57" s="46"/>
      <x:c r="W57" s="44"/>
      <x:c r="X57" s="42" t="str">
        <x:v>Not applicable</x:v>
      </x:c>
      <x:c r="Y57" s="42"/>
      <x:c r="Z57" s="42"/>
      <x:c r="AA57" s="46"/>
      <x:c r="AB57" s="42" t="str">
        <x:v>Not disclosed</x:v>
      </x:c>
      <x:c r="AC57" s="46"/>
      <x:c r="AD57" s="42" t="str">
        <x:v>Not disclosed</x:v>
      </x:c>
      <x:c r="AE57" s="45"/>
      <x:c r="AF57" s="45"/>
      <x:c r="AG57" s="44"/>
      <x:c r="AH57" s="42" t="str">
        <x:v>Not disclosed</x:v>
      </x:c>
      <x:c r="AI57" s="47"/>
      <x:c r="AJ57" s="47"/>
      <x:c r="AK57" s="42" t="str">
        <x:v>Not disclosed</x:v>
      </x:c>
      <x:c r="AL57" s="42" t="str">
        <x:v>Not disclosed</x:v>
      </x:c>
      <x:c r="AM57" s="42" t="str">
        <x:v>N/M: EV and aligned-currency financials are required</x:v>
      </x:c>
      <x:c r="AN57" s="42" t="str">
        <x:v>rejected</x:v>
      </x:c>
      <x:c r="AO57" s="42" t="n">
        <x:v>15</x:v>
      </x:c>
      <x:c r="AP57" s="42" t="str">
        <x:v>unverified</x:v>
      </x:c>
      <x:c r="AQ57" s="42" t="n">
        <x:v>2</x:v>
      </x:c>
      <x:c r="AR57" s="42" t="str">
        <x:v>SberCIB</x:v>
      </x:c>
      <x:c r="AS57" s="42" t="str">
        <x:v>https://sbercib.ru/publication/rezultati-ozon-dom-rf-dividendi-yandeksa-i-tatnefti-i-drugie-novosti-nedeli</x:v>
      </x:c>
      <x:c r="AT57" s="42" t="str">
        <x:v>Результаты Ozon, ДОМ.</x:v>
      </x:c>
    </x:row>
    <x:row r="58">
      <x:c r="A58" s="42" t="str">
        <x:v>DL-6bc0569f7ac374fe</x:v>
      </x:c>
      <x:c r="B58" s="44" t="n">
        <x:v>46139</x:v>
      </x:c>
      <x:c r="C58" s="42" t="str">
        <x:v>M&amp;A</x:v>
      </x:c>
      <x:c r="D58" s="42" t="str">
        <x:v>watchlist</x:v>
      </x:c>
      <x:c r="E58" s="42" t="str">
        <x:v>Reported</x:v>
      </x:c>
      <x:c r="F58" s="42" t="str">
        <x:v>Not disclosed</x:v>
      </x:c>
      <x:c r="G58" s="42" t="str">
        <x:v>Not disclosed</x:v>
      </x:c>
      <x:c r="H58" s="42" t="str">
        <x:v>Not disclosed</x:v>
      </x:c>
      <x:c r="I58" s="42" t="str">
        <x:v>Financials</x:v>
      </x:c>
      <x:c r="J58" s="42" t="str">
        <x:v>Not disclosed</x:v>
      </x:c>
      <x:c r="K58" s="45"/>
      <x:c r="L58" s="45"/>
      <x:c r="M58" s="42" t="str">
        <x:v>Not disclosed</x:v>
      </x:c>
      <x:c r="N58" s="46"/>
      <x:c r="O58" s="42" t="str">
        <x:v>Shares</x:v>
      </x:c>
      <x:c r="P58" s="42" t="str">
        <x:v>Not disclosed</x:v>
      </x:c>
      <x:c r="Q58" s="42" t="str">
        <x:v>Acquisition / disposal</x:v>
      </x:c>
      <x:c r="R58" s="42" t="str">
        <x:v>Not applicable</x:v>
      </x:c>
      <x:c r="S58" s="42" t="str">
        <x:v>Not applicable</x:v>
      </x:c>
      <x:c r="T58" s="46"/>
      <x:c r="U58" s="42" t="str">
        <x:v>Not applicable</x:v>
      </x:c>
      <x:c r="V58" s="46"/>
      <x:c r="W58" s="44"/>
      <x:c r="X58" s="42" t="str">
        <x:v>Not applicable</x:v>
      </x:c>
      <x:c r="Y58" s="42"/>
      <x:c r="Z58" s="42"/>
      <x:c r="AA58" s="46"/>
      <x:c r="AB58" s="42" t="str">
        <x:v>Not applicable</x:v>
      </x:c>
      <x:c r="AC58" s="46"/>
      <x:c r="AD58" s="42" t="str">
        <x:v>Not disclosed</x:v>
      </x:c>
      <x:c r="AE58" s="45"/>
      <x:c r="AF58" s="45"/>
      <x:c r="AG58" s="44"/>
      <x:c r="AH58" s="42" t="str">
        <x:v>Not disclosed</x:v>
      </x:c>
      <x:c r="AI58" s="47"/>
      <x:c r="AJ58" s="47"/>
      <x:c r="AK58" s="42" t="str">
        <x:v>Not disclosed</x:v>
      </x:c>
      <x:c r="AL58" s="42" t="str">
        <x:v>Not disclosed</x:v>
      </x:c>
      <x:c r="AM58" s="42" t="str">
        <x:v>N/M: EV and aligned-currency financials are required</x:v>
      </x:c>
      <x:c r="AN58" s="42" t="str">
        <x:v>rejected</x:v>
      </x:c>
      <x:c r="AO58" s="42" t="n">
        <x:v>0</x:v>
      </x:c>
      <x:c r="AP58" s="42" t="str">
        <x:v>unverified</x:v>
      </x:c>
      <x:c r="AQ58" s="42" t="n">
        <x:v>2</x:v>
      </x:c>
      <x:c r="AR58" s="42" t="str">
        <x:v>Ведомости</x:v>
      </x:c>
      <x:c r="AS58" s="42" t="str">
        <x:v>https://www.vedomosti.ru/finance/news/2026/04/27/1193355-putin-isklyuchil</x:v>
      </x:c>
      <x:c r="AT58" s="42" t="str">
        <x:v>Путин исключил «Озон банк» из списка с запретом на сделки с акциями и долями - Ведомости</x:v>
      </x:c>
    </x:row>
    <x:row r="59">
      <x:c r="A59" s="42" t="str">
        <x:v>DL-cc671fa6b14f8f28</x:v>
      </x:c>
      <x:c r="B59" s="44" t="n">
        <x:v>46139</x:v>
      </x:c>
      <x:c r="C59" s="42" t="str">
        <x:v>M&amp;A</x:v>
      </x:c>
      <x:c r="D59" s="42" t="str">
        <x:v>watchlist</x:v>
      </x:c>
      <x:c r="E59" s="42" t="str">
        <x:v>Reported</x:v>
      </x:c>
      <x:c r="F59" s="42" t="str">
        <x:v>Not disclosed</x:v>
      </x:c>
      <x:c r="G59" s="42" t="str">
        <x:v>Not disclosed</x:v>
      </x:c>
      <x:c r="H59" s="42" t="str">
        <x:v>Not disclosed</x:v>
      </x:c>
      <x:c r="I59" s="42" t="str">
        <x:v>Financials</x:v>
      </x:c>
      <x:c r="J59" s="42" t="str">
        <x:v>Not disclosed</x:v>
      </x:c>
      <x:c r="K59" s="45"/>
      <x:c r="L59" s="45"/>
      <x:c r="M59" s="42" t="str">
        <x:v>Not disclosed</x:v>
      </x:c>
      <x:c r="N59" s="46"/>
      <x:c r="O59" s="42" t="str">
        <x:v>Shares</x:v>
      </x:c>
      <x:c r="P59" s="42" t="str">
        <x:v>Not disclosed</x:v>
      </x:c>
      <x:c r="Q59" s="42" t="str">
        <x:v>Acquisition / disposal</x:v>
      </x:c>
      <x:c r="R59" s="42" t="str">
        <x:v>Not applicable</x:v>
      </x:c>
      <x:c r="S59" s="42" t="str">
        <x:v>Not applicable</x:v>
      </x:c>
      <x:c r="T59" s="46"/>
      <x:c r="U59" s="42" t="str">
        <x:v>Not applicable</x:v>
      </x:c>
      <x:c r="V59" s="46"/>
      <x:c r="W59" s="44"/>
      <x:c r="X59" s="42" t="str">
        <x:v>Not applicable</x:v>
      </x:c>
      <x:c r="Y59" s="42"/>
      <x:c r="Z59" s="42"/>
      <x:c r="AA59" s="46"/>
      <x:c r="AB59" s="42" t="str">
        <x:v>Not applicable</x:v>
      </x:c>
      <x:c r="AC59" s="46"/>
      <x:c r="AD59" s="42" t="str">
        <x:v>Not disclosed</x:v>
      </x:c>
      <x:c r="AE59" s="45"/>
      <x:c r="AF59" s="45"/>
      <x:c r="AG59" s="44"/>
      <x:c r="AH59" s="42" t="str">
        <x:v>Not disclosed</x:v>
      </x:c>
      <x:c r="AI59" s="47"/>
      <x:c r="AJ59" s="47"/>
      <x:c r="AK59" s="42" t="str">
        <x:v>Not disclosed</x:v>
      </x:c>
      <x:c r="AL59" s="42" t="str">
        <x:v>Not disclosed</x:v>
      </x:c>
      <x:c r="AM59" s="42" t="str">
        <x:v>N/M: EV and aligned-currency financials are required</x:v>
      </x:c>
      <x:c r="AN59" s="42" t="str">
        <x:v>rejected</x:v>
      </x:c>
      <x:c r="AO59" s="42" t="n">
        <x:v>0</x:v>
      </x:c>
      <x:c r="AP59" s="42" t="str">
        <x:v>unverified</x:v>
      </x:c>
      <x:c r="AQ59" s="42" t="n">
        <x:v>2</x:v>
      </x:c>
      <x:c r="AR59" s="42" t="str">
        <x:v>БКС Экспресс</x:v>
      </x:c>
      <x:c r="AS59" s="42" t="str">
        <x:v>https://bcs-express.ru/novosti-i-analitika/ozon-bank-iskliuchen-iz-perechnia-bankov-s-aktsiiami-kotorykh-zapreshcheny-sdelki</x:v>
      </x:c>
      <x:c r="AT59" s="42" t="str">
        <x:v>Ozon Банк исключен из перечня банков, с акциями которых запрещены сделки - БКС Экспресс</x:v>
      </x:c>
    </x:row>
    <x:row r="60">
      <x:c r="A60" s="42" t="str">
        <x:v>DL-2d1ef3023240f32a</x:v>
      </x:c>
      <x:c r="B60" s="44" t="n">
        <x:v>46139</x:v>
      </x:c>
      <x:c r="C60" s="42" t="str">
        <x:v>M&amp;A</x:v>
      </x:c>
      <x:c r="D60" s="42" t="str">
        <x:v>watchlist</x:v>
      </x:c>
      <x:c r="E60" s="42" t="str">
        <x:v>Reported</x:v>
      </x:c>
      <x:c r="F60" s="42" t="str">
        <x:v>Not disclosed</x:v>
      </x:c>
      <x:c r="G60" s="42" t="str">
        <x:v>Not disclosed</x:v>
      </x:c>
      <x:c r="H60" s="42" t="str">
        <x:v>Not disclosed</x:v>
      </x:c>
      <x:c r="I60" s="42" t="str">
        <x:v>Financials</x:v>
      </x:c>
      <x:c r="J60" s="42" t="str">
        <x:v>Russia</x:v>
      </x:c>
      <x:c r="K60" s="45"/>
      <x:c r="L60" s="45"/>
      <x:c r="M60" s="42" t="str">
        <x:v>Not disclosed</x:v>
      </x:c>
      <x:c r="N60" s="46"/>
      <x:c r="O60" s="42" t="str">
        <x:v>Shares</x:v>
      </x:c>
      <x:c r="P60" s="42" t="str">
        <x:v>Not disclosed</x:v>
      </x:c>
      <x:c r="Q60" s="42" t="str">
        <x:v>Acquisition / disposal</x:v>
      </x:c>
      <x:c r="R60" s="42" t="str">
        <x:v>Not applicable</x:v>
      </x:c>
      <x:c r="S60" s="42" t="str">
        <x:v>Not applicable</x:v>
      </x:c>
      <x:c r="T60" s="46"/>
      <x:c r="U60" s="42" t="str">
        <x:v>Not applicable</x:v>
      </x:c>
      <x:c r="V60" s="46"/>
      <x:c r="W60" s="44"/>
      <x:c r="X60" s="42" t="str">
        <x:v>Not applicable</x:v>
      </x:c>
      <x:c r="Y60" s="42"/>
      <x:c r="Z60" s="42"/>
      <x:c r="AA60" s="46"/>
      <x:c r="AB60" s="42" t="str">
        <x:v>Not applicable</x:v>
      </x:c>
      <x:c r="AC60" s="46"/>
      <x:c r="AD60" s="42" t="str">
        <x:v>Not disclosed</x:v>
      </x:c>
      <x:c r="AE60" s="45"/>
      <x:c r="AF60" s="45"/>
      <x:c r="AG60" s="44"/>
      <x:c r="AH60" s="42" t="str">
        <x:v>Not disclosed</x:v>
      </x:c>
      <x:c r="AI60" s="47"/>
      <x:c r="AJ60" s="47"/>
      <x:c r="AK60" s="42" t="str">
        <x:v>Not disclosed</x:v>
      </x:c>
      <x:c r="AL60" s="42" t="str">
        <x:v>Not disclosed</x:v>
      </x:c>
      <x:c r="AM60" s="42" t="str">
        <x:v>N/M: EV and aligned-currency financials are required</x:v>
      </x:c>
      <x:c r="AN60" s="42" t="str">
        <x:v>rejected</x:v>
      </x:c>
      <x:c r="AO60" s="42" t="n">
        <x:v>0</x:v>
      </x:c>
      <x:c r="AP60" s="42" t="str">
        <x:v>unverified</x:v>
      </x:c>
      <x:c r="AQ60" s="42" t="n">
        <x:v>4</x:v>
      </x:c>
      <x:c r="AR60" s="42" t="str">
        <x:v>Главпортал</x:v>
      </x:c>
      <x:c r="AS60" s="42" t="str">
        <x:v>https://glavportal.com/news/putin-razreshil-sdelki-s-akciyami-ozon-banka</x:v>
      </x:c>
      <x:c r="AT60" s="42" t="str">
        <x:v>Путин разрешил сделки с акциями «Озон банка» - Главпортал</x:v>
      </x:c>
    </x:row>
    <x:row r="61">
      <x:c r="A61" s="42" t="str">
        <x:v>DL-dd21f961f579e55a</x:v>
      </x:c>
      <x:c r="B61" s="44" t="n">
        <x:v>46139</x:v>
      </x:c>
      <x:c r="C61" s="42" t="str">
        <x:v>M&amp;A</x:v>
      </x:c>
      <x:c r="D61" s="42" t="str">
        <x:v>watchlist</x:v>
      </x:c>
      <x:c r="E61" s="42" t="str">
        <x:v>Reported</x:v>
      </x:c>
      <x:c r="F61" s="42" t="str">
        <x:v>Not disclosed</x:v>
      </x:c>
      <x:c r="G61" s="42" t="str">
        <x:v>Not disclosed</x:v>
      </x:c>
      <x:c r="H61" s="42" t="str">
        <x:v>Not disclosed</x:v>
      </x:c>
      <x:c r="I61" s="42" t="str">
        <x:v>Financials</x:v>
      </x:c>
      <x:c r="J61" s="42" t="str">
        <x:v>Not disclosed</x:v>
      </x:c>
      <x:c r="K61" s="45"/>
      <x:c r="L61" s="45"/>
      <x:c r="M61" s="42" t="str">
        <x:v>Not disclosed</x:v>
      </x:c>
      <x:c r="N61" s="46"/>
      <x:c r="O61" s="42" t="str">
        <x:v>Shares</x:v>
      </x:c>
      <x:c r="P61" s="42" t="str">
        <x:v>Not disclosed</x:v>
      </x:c>
      <x:c r="Q61" s="42" t="str">
        <x:v>Acquisition / disposal</x:v>
      </x:c>
      <x:c r="R61" s="42" t="str">
        <x:v>Not applicable</x:v>
      </x:c>
      <x:c r="S61" s="42" t="str">
        <x:v>Not applicable</x:v>
      </x:c>
      <x:c r="T61" s="46"/>
      <x:c r="U61" s="42" t="str">
        <x:v>Not applicable</x:v>
      </x:c>
      <x:c r="V61" s="46"/>
      <x:c r="W61" s="44"/>
      <x:c r="X61" s="42" t="str">
        <x:v>Not applicable</x:v>
      </x:c>
      <x:c r="Y61" s="42"/>
      <x:c r="Z61" s="42"/>
      <x:c r="AA61" s="46"/>
      <x:c r="AB61" s="42" t="str">
        <x:v>Not applicable</x:v>
      </x:c>
      <x:c r="AC61" s="46"/>
      <x:c r="AD61" s="42" t="str">
        <x:v>Not disclosed</x:v>
      </x:c>
      <x:c r="AE61" s="45"/>
      <x:c r="AF61" s="45"/>
      <x:c r="AG61" s="44"/>
      <x:c r="AH61" s="42" t="str">
        <x:v>Not disclosed</x:v>
      </x:c>
      <x:c r="AI61" s="47"/>
      <x:c r="AJ61" s="47"/>
      <x:c r="AK61" s="42" t="str">
        <x:v>Not disclosed</x:v>
      </x:c>
      <x:c r="AL61" s="42" t="str">
        <x:v>Not disclosed</x:v>
      </x:c>
      <x:c r="AM61" s="42" t="str">
        <x:v>N/M: EV and aligned-currency financials are required</x:v>
      </x:c>
      <x:c r="AN61" s="42" t="str">
        <x:v>rejected</x:v>
      </x:c>
      <x:c r="AO61" s="42" t="n">
        <x:v>0</x:v>
      </x:c>
      <x:c r="AP61" s="42" t="str">
        <x:v>unverified</x:v>
      </x:c>
      <x:c r="AQ61" s="42" t="n">
        <x:v>2</x:v>
      </x:c>
      <x:c r="AR61" s="42" t="str">
        <x:v>Реальное время</x:v>
      </x:c>
      <x:c r="AS61" s="42" t="str">
        <x:v>https://realnoevremya.ru/news/394463-s-ozon-banka-snyali-ogranicheniya-na-sdelki-s-akciyami-rasporyazhenie-putina</x:v>
      </x:c>
      <x:c r="AT61" s="42" t="str">
        <x:v>С «Озон банка» сняли ограничения на сделки с акциями — распоряжение Путина - Реальное время</x:v>
      </x:c>
    </x:row>
    <x:row r="62">
      <x:c r="A62" s="42" t="str">
        <x:v>DL-276fe11e133d5a4b</x:v>
      </x:c>
      <x:c r="B62" s="44" t="n">
        <x:v>46139</x:v>
      </x:c>
      <x:c r="C62" s="42" t="str">
        <x:v>M&amp;A</x:v>
      </x:c>
      <x:c r="D62" s="42" t="str">
        <x:v>watchlist</x:v>
      </x:c>
      <x:c r="E62" s="42" t="str">
        <x:v>Reported</x:v>
      </x:c>
      <x:c r="F62" s="42" t="str">
        <x:v>Not disclosed</x:v>
      </x:c>
      <x:c r="G62" s="42" t="str">
        <x:v>Not disclosed</x:v>
      </x:c>
      <x:c r="H62" s="42" t="str">
        <x:v>Not disclosed</x:v>
      </x:c>
      <x:c r="I62" s="42" t="str">
        <x:v>Financials</x:v>
      </x:c>
      <x:c r="J62" s="42" t="str">
        <x:v>Not disclosed</x:v>
      </x:c>
      <x:c r="K62" s="45"/>
      <x:c r="L62" s="45"/>
      <x:c r="M62" s="42" t="str">
        <x:v>Not disclosed</x:v>
      </x:c>
      <x:c r="N62" s="46"/>
      <x:c r="O62" s="42" t="str">
        <x:v>Not disclosed</x:v>
      </x:c>
      <x:c r="P62" s="42" t="str">
        <x:v>Not disclosed</x:v>
      </x:c>
      <x:c r="Q62" s="42" t="str">
        <x:v>Acquisition / disposal</x:v>
      </x:c>
      <x:c r="R62" s="42" t="str">
        <x:v>Not applicable</x:v>
      </x:c>
      <x:c r="S62" s="42" t="str">
        <x:v>Not applicable</x:v>
      </x:c>
      <x:c r="T62" s="46"/>
      <x:c r="U62" s="42" t="str">
        <x:v>Not applicable</x:v>
      </x:c>
      <x:c r="V62" s="46"/>
      <x:c r="W62" s="44"/>
      <x:c r="X62" s="42" t="str">
        <x:v>Not applicable</x:v>
      </x:c>
      <x:c r="Y62" s="42"/>
      <x:c r="Z62" s="42"/>
      <x:c r="AA62" s="46"/>
      <x:c r="AB62" s="42" t="str">
        <x:v>Not applicable</x:v>
      </x:c>
      <x:c r="AC62" s="46"/>
      <x:c r="AD62" s="42" t="str">
        <x:v>Not disclosed</x:v>
      </x:c>
      <x:c r="AE62" s="45"/>
      <x:c r="AF62" s="45"/>
      <x:c r="AG62" s="44"/>
      <x:c r="AH62" s="42" t="str">
        <x:v>Not disclosed</x:v>
      </x:c>
      <x:c r="AI62" s="47"/>
      <x:c r="AJ62" s="47"/>
      <x:c r="AK62" s="42" t="str">
        <x:v>Not disclosed</x:v>
      </x:c>
      <x:c r="AL62" s="42" t="str">
        <x:v>Not disclosed</x:v>
      </x:c>
      <x:c r="AM62" s="42" t="str">
        <x:v>N/M: EV and aligned-currency financials are required</x:v>
      </x:c>
      <x:c r="AN62" s="42" t="str">
        <x:v>rejected</x:v>
      </x:c>
      <x:c r="AO62" s="42" t="n">
        <x:v>0</x:v>
      </x:c>
      <x:c r="AP62" s="42" t="str">
        <x:v>unverified</x:v>
      </x:c>
      <x:c r="AQ62" s="42" t="n">
        <x:v>2</x:v>
      </x:c>
      <x:c r="AR62" s="42" t="str">
        <x:v>Банковское обозрение</x:v>
      </x:c>
      <x:c r="AS62" s="42" t="str">
        <x:v>https://bosfera.ru/press-release/ozon-bank-isklyuchen-iz-spiska-s-zapretom-na-sdelki-s-akciyami-i-dolyami</x:v>
      </x:c>
      <x:c r="AT62" s="42" t="str">
        <x:v>Ozon Банк исключен из списка с запретом на сделки с акциями и долями - Банковское обозрение</x:v>
      </x:c>
    </x:row>
    <x:row r="63">
      <x:c r="A63" s="42" t="str">
        <x:v>DL-0bceebeca9933dc3</x:v>
      </x:c>
      <x:c r="B63" s="44" t="n">
        <x:v>46132</x:v>
      </x:c>
      <x:c r="C63" s="42" t="str">
        <x:v>DCM</x:v>
      </x:c>
      <x:c r="D63" s="42" t="str">
        <x:v>watchlist</x:v>
      </x:c>
      <x:c r="E63" s="42" t="str">
        <x:v>Reported</x:v>
      </x:c>
      <x:c r="F63" s="42" t="str">
        <x:v>Ozon</x:v>
      </x:c>
      <x:c r="G63" s="42" t="str">
        <x:v>Not applicable</x:v>
      </x:c>
      <x:c r="H63" s="42" t="str">
        <x:v>Not applicable</x:v>
      </x:c>
      <x:c r="I63" s="42" t="str">
        <x:v>Financials</x:v>
      </x:c>
      <x:c r="J63" s="42" t="str">
        <x:v>Not disclosed</x:v>
      </x:c>
      <x:c r="K63" s="45"/>
      <x:c r="L63" s="45"/>
      <x:c r="M63" s="42" t="str">
        <x:v>Not disclosed</x:v>
      </x:c>
      <x:c r="N63" s="46"/>
      <x:c r="O63" s="42" t="str">
        <x:v>Not applicable</x:v>
      </x:c>
      <x:c r="P63" s="42" t="str">
        <x:v>Not disclosed</x:v>
      </x:c>
      <x:c r="Q63" s="42" t="str">
        <x:v>Bonds</x:v>
      </x:c>
      <x:c r="R63" s="42" t="str">
        <x:v>Not disclosed</x:v>
      </x:c>
      <x:c r="S63" s="42" t="str">
        <x:v>Not disclosed</x:v>
      </x:c>
      <x:c r="T63" s="46"/>
      <x:c r="U63" s="42" t="str">
        <x:v>Not disclosed</x:v>
      </x:c>
      <x:c r="V63" s="46"/>
      <x:c r="W63" s="44"/>
      <x:c r="X63" s="42" t="str">
        <x:v>Not disclosed</x:v>
      </x:c>
      <x:c r="Y63" s="42"/>
      <x:c r="Z63" s="42"/>
      <x:c r="AA63" s="46"/>
      <x:c r="AB63" s="42" t="str">
        <x:v>Not applicable</x:v>
      </x:c>
      <x:c r="AC63" s="46"/>
      <x:c r="AD63" s="42" t="str">
        <x:v>Not disclosed</x:v>
      </x:c>
      <x:c r="AE63" s="45"/>
      <x:c r="AF63" s="45"/>
      <x:c r="AG63" s="44"/>
      <x:c r="AH63" s="42" t="str">
        <x:v>Not disclosed</x:v>
      </x:c>
      <x:c r="AI63" s="47"/>
      <x:c r="AJ63" s="47"/>
      <x:c r="AK63" s="42" t="str">
        <x:v>Not disclosed</x:v>
      </x:c>
      <x:c r="AL63" s="42" t="str">
        <x:v>Not disclosed</x:v>
      </x:c>
      <x:c r="AM63" s="42" t="str">
        <x:v>N/M: EV and aligned-currency financials are required</x:v>
      </x:c>
      <x:c r="AN63" s="42" t="str">
        <x:v>rejected</x:v>
      </x:c>
      <x:c r="AO63" s="42" t="n">
        <x:v>15</x:v>
      </x:c>
      <x:c r="AP63" s="42" t="str">
        <x:v>unverified</x:v>
      </x:c>
      <x:c r="AQ63" s="42" t="n">
        <x:v>2</x:v>
      </x:c>
      <x:c r="AR63" s="42" t="str">
        <x:v>Альфа-Банк</x:v>
      </x:c>
      <x:c r="AS63" s="42" t="str">
        <x:v>https://alfabank.ru/alfa-investor/t/obligatsii-ozona-zarabotay-na-marketpleyse/</x:v>
      </x:c>
      <x:c r="AT63" s="42" t="str">
        <x:v>Облигации Озона: заработай на маркетплейсе - Альфа-Банк</x:v>
      </x:c>
    </x:row>
    <x:row r="64">
      <x:c r="A64" s="42" t="str">
        <x:v>DL-e65aa610a439e531</x:v>
      </x:c>
      <x:c r="B64" s="44" t="n">
        <x:v>46132</x:v>
      </x:c>
      <x:c r="C64" s="42" t="str">
        <x:v>ECM</x:v>
      </x:c>
      <x:c r="D64" s="42" t="str">
        <x:v>watchlist</x:v>
      </x:c>
      <x:c r="E64" s="42" t="str">
        <x:v>Reported</x:v>
      </x:c>
      <x:c r="F64" s="42" t="str">
        <x:v>Yandex</x:v>
      </x:c>
      <x:c r="G64" s="42" t="str">
        <x:v>Not applicable</x:v>
      </x:c>
      <x:c r="H64" s="42" t="str">
        <x:v>Not applicable</x:v>
      </x:c>
      <x:c r="I64" s="42" t="str">
        <x:v>Not classified</x:v>
      </x:c>
      <x:c r="J64" s="42" t="str">
        <x:v>Russia</x:v>
      </x:c>
      <x:c r="K64" s="45"/>
      <x:c r="L64" s="45"/>
      <x:c r="M64" s="42" t="str">
        <x:v>Not disclosed</x:v>
      </x:c>
      <x:c r="N64" s="46"/>
      <x:c r="O64" s="42" t="str">
        <x:v>Not applicable</x:v>
      </x:c>
      <x:c r="P64" s="42" t="str">
        <x:v>Not disclosed</x:v>
      </x:c>
      <x:c r="Q64" s="42" t="str">
        <x:v>Equity issuance</x:v>
      </x:c>
      <x:c r="R64" s="42" t="str">
        <x:v>Not applicable</x:v>
      </x:c>
      <x:c r="S64" s="42" t="str">
        <x:v>Not applicable</x:v>
      </x:c>
      <x:c r="T64" s="46"/>
      <x:c r="U64" s="42" t="str">
        <x:v>Not applicable</x:v>
      </x:c>
      <x:c r="V64" s="46"/>
      <x:c r="W64" s="44"/>
      <x:c r="X64" s="42" t="str">
        <x:v>Not applicable</x:v>
      </x:c>
      <x:c r="Y64" s="42"/>
      <x:c r="Z64" s="42"/>
      <x:c r="AA64" s="46"/>
      <x:c r="AB64" s="42" t="str">
        <x:v>Not disclosed</x:v>
      </x:c>
      <x:c r="AC64" s="46"/>
      <x:c r="AD64" s="42" t="str">
        <x:v>Not disclosed</x:v>
      </x:c>
      <x:c r="AE64" s="45"/>
      <x:c r="AF64" s="45"/>
      <x:c r="AG64" s="44"/>
      <x:c r="AH64" s="42" t="str">
        <x:v>Not disclosed</x:v>
      </x:c>
      <x:c r="AI64" s="47"/>
      <x:c r="AJ64" s="47"/>
      <x:c r="AK64" s="42" t="str">
        <x:v>Not disclosed</x:v>
      </x:c>
      <x:c r="AL64" s="42" t="str">
        <x:v>Not disclosed</x:v>
      </x:c>
      <x:c r="AM64" s="42" t="str">
        <x:v>N/M: EV and aligned-currency financials are required</x:v>
      </x:c>
      <x:c r="AN64" s="42" t="str">
        <x:v>rejected</x:v>
      </x:c>
      <x:c r="AO64" s="42" t="n">
        <x:v>15</x:v>
      </x:c>
      <x:c r="AP64" s="42" t="str">
        <x:v>unverified</x:v>
      </x:c>
      <x:c r="AQ64" s="42" t="n">
        <x:v>3</x:v>
      </x:c>
      <x:c r="AR64" s="42" t="str">
        <x:v>https://expert.ru</x:v>
      </x:c>
      <x:c r="AS64" s="42" t="str">
        <x:v>https://expert.ru/news/aktsionery-yandeksa-utverdili-dividendy-za-2025-god-v-razmere-110-rubley</x:v>
      </x:c>
      <x:c r="AT64" s="42" t="str">
        <x:v>Акционеры «Яндекса» утвердили дивиденды за 2025 год в размере 110 рублей - https://expert.ru</x:v>
      </x:c>
    </x:row>
    <x:row r="65">
      <x:c r="A65" s="42" t="str">
        <x:v>DL-0e547964381c1356</x:v>
      </x:c>
      <x:c r="B65" s="44" t="n">
        <x:v>46132</x:v>
      </x:c>
      <x:c r="C65" s="42" t="str">
        <x:v>ECM</x:v>
      </x:c>
      <x:c r="D65" s="42" t="str">
        <x:v>watchlist</x:v>
      </x:c>
      <x:c r="E65" s="42" t="str">
        <x:v>Reported</x:v>
      </x:c>
      <x:c r="F65" s="42" t="str">
        <x:v>Yandex</x:v>
      </x:c>
      <x:c r="G65" s="42" t="str">
        <x:v>Not applicable</x:v>
      </x:c>
      <x:c r="H65" s="42" t="str">
        <x:v>Not applicable</x:v>
      </x:c>
      <x:c r="I65" s="42" t="str">
        <x:v>Not classified</x:v>
      </x:c>
      <x:c r="J65" s="42" t="str">
        <x:v>Not disclosed</x:v>
      </x:c>
      <x:c r="K65" s="45"/>
      <x:c r="L65" s="45"/>
      <x:c r="M65" s="42" t="str">
        <x:v>Not disclosed</x:v>
      </x:c>
      <x:c r="N65" s="46"/>
      <x:c r="O65" s="42" t="str">
        <x:v>Not applicable</x:v>
      </x:c>
      <x:c r="P65" s="42" t="str">
        <x:v>Not disclosed</x:v>
      </x:c>
      <x:c r="Q65" s="42" t="str">
        <x:v>Equity issuance</x:v>
      </x:c>
      <x:c r="R65" s="42" t="str">
        <x:v>Not applicable</x:v>
      </x:c>
      <x:c r="S65" s="42" t="str">
        <x:v>Not applicable</x:v>
      </x:c>
      <x:c r="T65" s="46"/>
      <x:c r="U65" s="42" t="str">
        <x:v>Not applicable</x:v>
      </x:c>
      <x:c r="V65" s="46"/>
      <x:c r="W65" s="44"/>
      <x:c r="X65" s="42" t="str">
        <x:v>Not applicable</x:v>
      </x:c>
      <x:c r="Y65" s="42"/>
      <x:c r="Z65" s="42"/>
      <x:c r="AA65" s="46"/>
      <x:c r="AB65" s="42" t="str">
        <x:v>Not disclosed</x:v>
      </x:c>
      <x:c r="AC65" s="46"/>
      <x:c r="AD65" s="42" t="str">
        <x:v>Not disclosed</x:v>
      </x:c>
      <x:c r="AE65" s="45"/>
      <x:c r="AF65" s="45"/>
      <x:c r="AG65" s="44"/>
      <x:c r="AH65" s="42" t="str">
        <x:v>Not disclosed</x:v>
      </x:c>
      <x:c r="AI65" s="47"/>
      <x:c r="AJ65" s="47"/>
      <x:c r="AK65" s="42" t="str">
        <x:v>Not disclosed</x:v>
      </x:c>
      <x:c r="AL65" s="42" t="str">
        <x:v>Not disclosed</x:v>
      </x:c>
      <x:c r="AM65" s="42" t="str">
        <x:v>N/M: EV and aligned-currency financials are required</x:v>
      </x:c>
      <x:c r="AN65" s="42" t="str">
        <x:v>rejected</x:v>
      </x:c>
      <x:c r="AO65" s="42" t="n">
        <x:v>15</x:v>
      </x:c>
      <x:c r="AP65" s="42" t="str">
        <x:v>unverified</x:v>
      </x:c>
      <x:c r="AQ65" s="42" t="n">
        <x:v>2</x:v>
      </x:c>
      <x:c r="AR65" s="42" t="str">
        <x:v>RB.RU</x:v>
      </x:c>
      <x:c r="AS65" s="42" t="str">
        <x:v>https://rb.ru/news/yandeks-odobril-dividendy-po-itogam-2025-go-vyplaty-sostavyat-110-za-akciyu-pochti-na-40-vyshe-chem-v-proshlom-godu/</x:v>
      </x:c>
      <x:c r="AT65" s="42" t="str">
        <x:v>Яндекс утвердил дивиденды по итогам 2025 года — выплаты составят 110 ₽ за акцию - RB.RU</x:v>
      </x:c>
    </x:row>
    <x:row r="66">
      <x:c r="A66" s="42" t="str">
        <x:v>DL-c10daba8af8e67d8</x:v>
      </x:c>
      <x:c r="B66" s="44" t="n">
        <x:v>46128</x:v>
      </x:c>
      <x:c r="C66" s="42" t="str">
        <x:v>M&amp;A</x:v>
      </x:c>
      <x:c r="D66" s="42" t="str">
        <x:v>watchlist</x:v>
      </x:c>
      <x:c r="E66" s="42" t="str">
        <x:v>Reported</x:v>
      </x:c>
      <x:c r="F66" s="42" t="str">
        <x:v>Точка Банка</x:v>
      </x:c>
      <x:c r="G66" s="42" t="str">
        <x:v>Not disclosed</x:v>
      </x:c>
      <x:c r="H66" s="42" t="str">
        <x:v>VK</x:v>
      </x:c>
      <x:c r="I66" s="42" t="str">
        <x:v>Financials</x:v>
      </x:c>
      <x:c r="J66" s="42" t="str">
        <x:v>Not disclosed</x:v>
      </x:c>
      <x:c r="K66" s="45" t="n">
        <x:v>21200000000</x:v>
      </x:c>
      <x:c r="L66" s="45"/>
      <x:c r="M66" s="42" t="str">
        <x:v>RUB</x:v>
      </x:c>
      <x:c r="N66" s="46" t="n">
        <x:v>0.25</x:v>
      </x:c>
      <x:c r="O66" s="42" t="str">
        <x:v>Shares</x:v>
      </x:c>
      <x:c r="P66" s="42" t="str">
        <x:v>Not disclosed</x:v>
      </x:c>
      <x:c r="Q66" s="42" t="str">
        <x:v>Acquisition / disposal</x:v>
      </x:c>
      <x:c r="R66" s="42" t="str">
        <x:v>Not applicable</x:v>
      </x:c>
      <x:c r="S66" s="42" t="str">
        <x:v>Not applicable</x:v>
      </x:c>
      <x:c r="T66" s="46"/>
      <x:c r="U66" s="42" t="str">
        <x:v>Not applicable</x:v>
      </x:c>
      <x:c r="V66" s="46"/>
      <x:c r="W66" s="44"/>
      <x:c r="X66" s="42" t="str">
        <x:v>Not applicable</x:v>
      </x:c>
      <x:c r="Y66" s="42"/>
      <x:c r="Z66" s="42"/>
      <x:c r="AA66" s="46"/>
      <x:c r="AB66" s="42" t="str">
        <x:v>Not applicable</x:v>
      </x:c>
      <x:c r="AC66" s="46"/>
      <x:c r="AD66" s="42" t="str">
        <x:v>Not disclosed</x:v>
      </x:c>
      <x:c r="AE66" s="45"/>
      <x:c r="AF66" s="45"/>
      <x:c r="AG66" s="44"/>
      <x:c r="AH66" s="42" t="str">
        <x:v>Not disclosed</x:v>
      </x:c>
      <x:c r="AI66" s="47"/>
      <x:c r="AJ66" s="47"/>
      <x:c r="AK66" s="42" t="str">
        <x:v>Not disclosed</x:v>
      </x:c>
      <x:c r="AL66" s="42" t="str">
        <x:v>Not disclosed</x:v>
      </x:c>
      <x:c r="AM66" s="42" t="str">
        <x:v>N/M: EV and aligned-currency financials are required</x:v>
      </x:c>
      <x:c r="AN66" s="42" t="str">
        <x:v>review</x:v>
      </x:c>
      <x:c r="AO66" s="42" t="n">
        <x:v>60</x:v>
      </x:c>
      <x:c r="AP66" s="42" t="str">
        <x:v>unverified</x:v>
      </x:c>
      <x:c r="AQ66" s="42" t="n">
        <x:v>6</x:v>
      </x:c>
      <x:c r="AR66" s="42" t="str">
        <x:v>RB.RU</x:v>
      </x:c>
      <x:c r="AS66" s="42" t="str">
        <x:v>https://rb.ru/news/vk-prodal-25-akcij-tochka-banka-sdelku-ocenili-v-212-mlrd-vdvoe-vyshe-iznachalnoj-stoimosti-bumag/</x:v>
      </x:c>
      <x:c r="AT66" s="42" t="str">
        <x:v>VK продал 25% акций Точка Банка: сделку оценили в 21,2 млрд ₽ — вдвое выше изначальной стоимости бумаг - RB.RU</x:v>
      </x:c>
    </x:row>
    <x:row r="67">
      <x:c r="A67" s="42" t="str">
        <x:v>DL-4774de17c61c14e4</x:v>
      </x:c>
      <x:c r="B67" s="44" t="n">
        <x:v>46122</x:v>
      </x:c>
      <x:c r="C67" s="42" t="str">
        <x:v>DCM</x:v>
      </x:c>
      <x:c r="D67" s="42" t="str">
        <x:v>watchlist</x:v>
      </x:c>
      <x:c r="E67" s="42" t="str">
        <x:v>Reported</x:v>
      </x:c>
      <x:c r="F67" s="42" t="str">
        <x:v>VK</x:v>
      </x:c>
      <x:c r="G67" s="42" t="str">
        <x:v>Not applicable</x:v>
      </x:c>
      <x:c r="H67" s="42" t="str">
        <x:v>Not applicable</x:v>
      </x:c>
      <x:c r="I67" s="42" t="str">
        <x:v>Not classified</x:v>
      </x:c>
      <x:c r="J67" s="42" t="str">
        <x:v>Not disclosed</x:v>
      </x:c>
      <x:c r="K67" s="45"/>
      <x:c r="L67" s="45"/>
      <x:c r="M67" s="42" t="str">
        <x:v>Not disclosed</x:v>
      </x:c>
      <x:c r="N67" s="46"/>
      <x:c r="O67" s="42" t="str">
        <x:v>Not applicable</x:v>
      </x:c>
      <x:c r="P67" s="42" t="str">
        <x:v>Not disclosed</x:v>
      </x:c>
      <x:c r="Q67" s="42" t="str">
        <x:v>Bonds</x:v>
      </x:c>
      <x:c r="R67" s="42" t="str">
        <x:v>Not disclosed</x:v>
      </x:c>
      <x:c r="S67" s="42" t="str">
        <x:v>Not disclosed</x:v>
      </x:c>
      <x:c r="T67" s="46"/>
      <x:c r="U67" s="42" t="str">
        <x:v>Not disclosed</x:v>
      </x:c>
      <x:c r="V67" s="46"/>
      <x:c r="W67" s="44"/>
      <x:c r="X67" s="42" t="str">
        <x:v>Not disclosed</x:v>
      </x:c>
      <x:c r="Y67" s="42"/>
      <x:c r="Z67" s="42"/>
      <x:c r="AA67" s="46"/>
      <x:c r="AB67" s="42" t="str">
        <x:v>Not applicable</x:v>
      </x:c>
      <x:c r="AC67" s="46"/>
      <x:c r="AD67" s="42" t="str">
        <x:v>Not disclosed</x:v>
      </x:c>
      <x:c r="AE67" s="45"/>
      <x:c r="AF67" s="45"/>
      <x:c r="AG67" s="44"/>
      <x:c r="AH67" s="42" t="str">
        <x:v>Not disclosed</x:v>
      </x:c>
      <x:c r="AI67" s="47"/>
      <x:c r="AJ67" s="47"/>
      <x:c r="AK67" s="42" t="str">
        <x:v>Not disclosed</x:v>
      </x:c>
      <x:c r="AL67" s="42" t="str">
        <x:v>Not disclosed</x:v>
      </x:c>
      <x:c r="AM67" s="42" t="str">
        <x:v>N/M: EV and aligned-currency financials are required</x:v>
      </x:c>
      <x:c r="AN67" s="42" t="str">
        <x:v>review</x:v>
      </x:c>
      <x:c r="AO67" s="42" t="n">
        <x:v>75</x:v>
      </x:c>
      <x:c r="AP67" s="42" t="str">
        <x:v>unverified</x:v>
      </x:c>
      <x:c r="AQ67" s="42" t="n">
        <x:v>2</x:v>
      </x:c>
      <x:c r="AR67" s="42" t="str">
        <x:v>Финам</x:v>
      </x:c>
      <x:c r="AS67" s="42" t="str">
        <x:v>https://www.finam.ru/publications/item/dvoynoe-razmeshchenie-obligatsiy-vk-chego-zhdat-chastnym-investoram-20260410-1829/</x:v>
      </x:c>
      <x:c r="AT67" s="42" t="str">
        <x:v>Двойное размещение облигаций VK.</x:v>
      </x:c>
    </x:row>
    <x:row r="68">
      <x:c r="A68" s="42" t="str">
        <x:v>DL-87f81143148d7276</x:v>
      </x:c>
      <x:c r="B68" s="44" t="n">
        <x:v>46122</x:v>
      </x:c>
      <x:c r="C68" s="42" t="str">
        <x:v>ECM</x:v>
      </x:c>
      <x:c r="D68" s="42" t="str">
        <x:v>watchlist</x:v>
      </x:c>
      <x:c r="E68" s="42" t="str">
        <x:v>Reported</x:v>
      </x:c>
      <x:c r="F68" s="42" t="str">
        <x:v>Ozon</x:v>
      </x:c>
      <x:c r="G68" s="42" t="str">
        <x:v>Not applicable</x:v>
      </x:c>
      <x:c r="H68" s="42" t="str">
        <x:v>Not applicable</x:v>
      </x:c>
      <x:c r="I68" s="42" t="str">
        <x:v>Financials</x:v>
      </x:c>
      <x:c r="J68" s="42" t="str">
        <x:v>Not disclosed</x:v>
      </x:c>
      <x:c r="K68" s="45"/>
      <x:c r="L68" s="45"/>
      <x:c r="M68" s="42" t="str">
        <x:v>Not disclosed</x:v>
      </x:c>
      <x:c r="N68" s="46"/>
      <x:c r="O68" s="42" t="str">
        <x:v>Not applicable</x:v>
      </x:c>
      <x:c r="P68" s="42" t="str">
        <x:v>Not disclosed</x:v>
      </x:c>
      <x:c r="Q68" s="42" t="str">
        <x:v>Equity issuance</x:v>
      </x:c>
      <x:c r="R68" s="42" t="str">
        <x:v>Not applicable</x:v>
      </x:c>
      <x:c r="S68" s="42" t="str">
        <x:v>Not applicable</x:v>
      </x:c>
      <x:c r="T68" s="46"/>
      <x:c r="U68" s="42" t="str">
        <x:v>Not applicable</x:v>
      </x:c>
      <x:c r="V68" s="46"/>
      <x:c r="W68" s="44"/>
      <x:c r="X68" s="42" t="str">
        <x:v>Not applicable</x:v>
      </x:c>
      <x:c r="Y68" s="42"/>
      <x:c r="Z68" s="42"/>
      <x:c r="AA68" s="46"/>
      <x:c r="AB68" s="42" t="str">
        <x:v>Not disclosed</x:v>
      </x:c>
      <x:c r="AC68" s="46"/>
      <x:c r="AD68" s="42" t="str">
        <x:v>Not disclosed</x:v>
      </x:c>
      <x:c r="AE68" s="45"/>
      <x:c r="AF68" s="45"/>
      <x:c r="AG68" s="44"/>
      <x:c r="AH68" s="42" t="str">
        <x:v>Not disclosed</x:v>
      </x:c>
      <x:c r="AI68" s="47"/>
      <x:c r="AJ68" s="47"/>
      <x:c r="AK68" s="42" t="str">
        <x:v>Not disclosed</x:v>
      </x:c>
      <x:c r="AL68" s="42" t="str">
        <x:v>Not disclosed</x:v>
      </x:c>
      <x:c r="AM68" s="42" t="str">
        <x:v>N/M: EV and aligned-currency financials are required</x:v>
      </x:c>
      <x:c r="AN68" s="42" t="str">
        <x:v>rejected</x:v>
      </x:c>
      <x:c r="AO68" s="42" t="n">
        <x:v>15</x:v>
      </x:c>
      <x:c r="AP68" s="42" t="str">
        <x:v>unverified</x:v>
      </x:c>
      <x:c r="AQ68" s="42" t="n">
        <x:v>2</x:v>
      </x:c>
      <x:c r="AR68" s="42" t="str">
        <x:v>Альфа-Банк</x:v>
      </x:c>
      <x:c r="AS68" s="42" t="str">
        <x:v>https://alfabank.ru/alfa-investor/posts/t/1238104e-fa34-f111-91c8-0050569ebac3/</x:v>
      </x:c>
      <x:c r="AT68" s="42" t="str">
        <x:v>Мы держим Ozon в портфеле роста, но не в дивидендном Хотя - Альфа-Банк</x:v>
      </x:c>
    </x:row>
    <x:row r="69">
      <x:c r="A69" s="42" t="str">
        <x:v>DL-1363a495ec14164a</x:v>
      </x:c>
      <x:c r="B69" s="44" t="n">
        <x:v>46115</x:v>
      </x:c>
      <x:c r="C69" s="42" t="str">
        <x:v>DCM</x:v>
      </x:c>
      <x:c r="D69" s="42" t="str">
        <x:v>watchlist</x:v>
      </x:c>
      <x:c r="E69" s="42" t="str">
        <x:v>Announced</x:v>
      </x:c>
      <x:c r="F69" s="42" t="str">
        <x:v>Ozon</x:v>
      </x:c>
      <x:c r="G69" s="42" t="str">
        <x:v>Not applicable</x:v>
      </x:c>
      <x:c r="H69" s="42" t="str">
        <x:v>Not applicable</x:v>
      </x:c>
      <x:c r="I69" s="42" t="str">
        <x:v>Not classified</x:v>
      </x:c>
      <x:c r="J69" s="42" t="str">
        <x:v>Russia</x:v>
      </x:c>
      <x:c r="K69" s="45" t="n">
        <x:v>15000000000</x:v>
      </x:c>
      <x:c r="L69" s="45"/>
      <x:c r="M69" s="42" t="str">
        <x:v>RUB</x:v>
      </x:c>
      <x:c r="N69" s="46"/>
      <x:c r="O69" s="42" t="str">
        <x:v>Not applicable</x:v>
      </x:c>
      <x:c r="P69" s="42" t="str">
        <x:v>Not disclosed</x:v>
      </x:c>
      <x:c r="Q69" s="42" t="str">
        <x:v>Bonds</x:v>
      </x:c>
      <x:c r="R69" s="42" t="str">
        <x:v>Not disclosed</x:v>
      </x:c>
      <x:c r="S69" s="42" t="str">
        <x:v>Not disclosed</x:v>
      </x:c>
      <x:c r="T69" s="46"/>
      <x:c r="U69" s="42" t="str">
        <x:v>Not disclosed</x:v>
      </x:c>
      <x:c r="V69" s="46"/>
      <x:c r="W69" s="44"/>
      <x:c r="X69" s="42" t="str">
        <x:v>Not disclosed</x:v>
      </x:c>
      <x:c r="Y69" s="42"/>
      <x:c r="Z69" s="42"/>
      <x:c r="AA69" s="46"/>
      <x:c r="AB69" s="42" t="str">
        <x:v>Not applicable</x:v>
      </x:c>
      <x:c r="AC69" s="46"/>
      <x:c r="AD69" s="42" t="str">
        <x:v>Not disclosed</x:v>
      </x:c>
      <x:c r="AE69" s="45"/>
      <x:c r="AF69" s="45"/>
      <x:c r="AG69" s="44"/>
      <x:c r="AH69" s="42" t="str">
        <x:v>Not disclosed</x:v>
      </x:c>
      <x:c r="AI69" s="47"/>
      <x:c r="AJ69" s="47"/>
      <x:c r="AK69" s="42" t="str">
        <x:v>Not disclosed</x:v>
      </x:c>
      <x:c r="AL69" s="42" t="str">
        <x:v>Not disclosed</x:v>
      </x:c>
      <x:c r="AM69" s="42" t="str">
        <x:v>N/M: EV and aligned-currency financials are required</x:v>
      </x:c>
      <x:c r="AN69" s="42" t="str">
        <x:v>review</x:v>
      </x:c>
      <x:c r="AO69" s="42" t="n">
        <x:v>75</x:v>
      </x:c>
      <x:c r="AP69" s="42" t="str">
        <x:v>unverified</x:v>
      </x:c>
      <x:c r="AQ69" s="42" t="n">
        <x:v>3</x:v>
      </x:c>
      <x:c r="AR69" s="42" t="str">
        <x:v>https://expert.ru</x:v>
      </x:c>
      <x:c r="AS69" s="42" t="str">
        <x:v>https://expert.ru/news/ozon-anonsiroval-razmeshchenie-obligatsiy-na-15-mlrd-rubley</x:v>
      </x:c>
      <x:c r="AT69" s="42" t="str">
        <x:v>Ozon анонсировал размещение облигаций на 15 млрд рублей - https://expert.ru</x:v>
      </x:c>
    </x:row>
    <x:row r="70">
      <x:c r="A70" s="42" t="str">
        <x:v>DL-12855c6275c496fe</x:v>
      </x:c>
      <x:c r="B70" s="44" t="n">
        <x:v>46115</x:v>
      </x:c>
      <x:c r="C70" s="42" t="str">
        <x:v>DCM</x:v>
      </x:c>
      <x:c r="D70" s="42" t="str">
        <x:v>watchlist</x:v>
      </x:c>
      <x:c r="E70" s="42" t="str">
        <x:v>Announced</x:v>
      </x:c>
      <x:c r="F70" s="42" t="str">
        <x:v>Ozon</x:v>
      </x:c>
      <x:c r="G70" s="42" t="str">
        <x:v>Not applicable</x:v>
      </x:c>
      <x:c r="H70" s="42" t="str">
        <x:v>Not applicable</x:v>
      </x:c>
      <x:c r="I70" s="42" t="str">
        <x:v>Not classified</x:v>
      </x:c>
      <x:c r="J70" s="42" t="str">
        <x:v>Not disclosed</x:v>
      </x:c>
      <x:c r="K70" s="45"/>
      <x:c r="L70" s="45"/>
      <x:c r="M70" s="42" t="str">
        <x:v>Not disclosed</x:v>
      </x:c>
      <x:c r="N70" s="46"/>
      <x:c r="O70" s="42" t="str">
        <x:v>Not applicable</x:v>
      </x:c>
      <x:c r="P70" s="42" t="str">
        <x:v>Not disclosed</x:v>
      </x:c>
      <x:c r="Q70" s="42" t="str">
        <x:v>Bonds</x:v>
      </x:c>
      <x:c r="R70" s="42" t="str">
        <x:v>Not disclosed</x:v>
      </x:c>
      <x:c r="S70" s="42" t="str">
        <x:v>Not disclosed</x:v>
      </x:c>
      <x:c r="T70" s="46"/>
      <x:c r="U70" s="42" t="str">
        <x:v>Not disclosed</x:v>
      </x:c>
      <x:c r="V70" s="46"/>
      <x:c r="W70" s="44"/>
      <x:c r="X70" s="42" t="str">
        <x:v>Not disclosed</x:v>
      </x:c>
      <x:c r="Y70" s="42"/>
      <x:c r="Z70" s="42"/>
      <x:c r="AA70" s="46"/>
      <x:c r="AB70" s="42" t="str">
        <x:v>Not applicable</x:v>
      </x:c>
      <x:c r="AC70" s="46"/>
      <x:c r="AD70" s="42" t="str">
        <x:v>Not disclosed</x:v>
      </x:c>
      <x:c r="AE70" s="45"/>
      <x:c r="AF70" s="45"/>
      <x:c r="AG70" s="44"/>
      <x:c r="AH70" s="42" t="str">
        <x:v>Not disclosed</x:v>
      </x:c>
      <x:c r="AI70" s="47"/>
      <x:c r="AJ70" s="47"/>
      <x:c r="AK70" s="42" t="str">
        <x:v>Not disclosed</x:v>
      </x:c>
      <x:c r="AL70" s="42" t="str">
        <x:v>Not disclosed</x:v>
      </x:c>
      <x:c r="AM70" s="42" t="str">
        <x:v>N/M: EV and aligned-currency financials are required</x:v>
      </x:c>
      <x:c r="AN70" s="42" t="str">
        <x:v>review</x:v>
      </x:c>
      <x:c r="AO70" s="42" t="n">
        <x:v>75</x:v>
      </x:c>
      <x:c r="AP70" s="42" t="str">
        <x:v>unverified</x:v>
      </x:c>
      <x:c r="AQ70" s="42" t="n">
        <x:v>2</x:v>
      </x:c>
      <x:c r="AR70" s="42" t="str">
        <x:v>БКС Экспресс</x:v>
      </x:c>
      <x:c r="AS70" s="42" t="str">
        <x:v>https://bcs-express.ru/novosti-i-analitika/ozon-planiruet-debiutnoe-razmeshchenie-birzhevykh-obligatsii</x:v>
      </x:c>
      <x:c r="AT70" s="42" t="str">
        <x:v>Озон планирует дебютное размещение биржевых облигаций - БКС Экспресс</x:v>
      </x:c>
    </x:row>
    <x:row r="71">
      <x:c r="A71" s="42" t="str">
        <x:v>DL-d39c99c4c2dfa45c</x:v>
      </x:c>
      <x:c r="B71" s="44" t="n">
        <x:v>46111</x:v>
      </x:c>
      <x:c r="C71" s="42" t="str">
        <x:v>DCM</x:v>
      </x:c>
      <x:c r="D71" s="42" t="str">
        <x:v>watchlist</x:v>
      </x:c>
      <x:c r="E71" s="42" t="str">
        <x:v>Reported</x:v>
      </x:c>
      <x:c r="F71" s="42" t="str">
        <x:v>VK</x:v>
      </x:c>
      <x:c r="G71" s="42" t="str">
        <x:v>Not applicable</x:v>
      </x:c>
      <x:c r="H71" s="42" t="str">
        <x:v>Not applicable</x:v>
      </x:c>
      <x:c r="I71" s="42" t="str">
        <x:v>Not classified</x:v>
      </x:c>
      <x:c r="J71" s="42" t="str">
        <x:v>Russia</x:v>
      </x:c>
      <x:c r="K71" s="45" t="n">
        <x:v>10000000000</x:v>
      </x:c>
      <x:c r="L71" s="45"/>
      <x:c r="M71" s="42" t="str">
        <x:v>RUB</x:v>
      </x:c>
      <x:c r="N71" s="46"/>
      <x:c r="O71" s="42" t="str">
        <x:v>Not applicable</x:v>
      </x:c>
      <x:c r="P71" s="42" t="str">
        <x:v>Not disclosed</x:v>
      </x:c>
      <x:c r="Q71" s="42" t="str">
        <x:v>Bonds</x:v>
      </x:c>
      <x:c r="R71" s="42" t="str">
        <x:v>Not disclosed</x:v>
      </x:c>
      <x:c r="S71" s="42" t="str">
        <x:v>Not disclosed</x:v>
      </x:c>
      <x:c r="T71" s="46"/>
      <x:c r="U71" s="42" t="str">
        <x:v>Not disclosed</x:v>
      </x:c>
      <x:c r="V71" s="46"/>
      <x:c r="W71" s="44"/>
      <x:c r="X71" s="42" t="str">
        <x:v>Not disclosed</x:v>
      </x:c>
      <x:c r="Y71" s="42"/>
      <x:c r="Z71" s="42"/>
      <x:c r="AA71" s="46"/>
      <x:c r="AB71" s="42" t="str">
        <x:v>Not applicable</x:v>
      </x:c>
      <x:c r="AC71" s="46"/>
      <x:c r="AD71" s="42" t="str">
        <x:v>Not disclosed</x:v>
      </x:c>
      <x:c r="AE71" s="45"/>
      <x:c r="AF71" s="45"/>
      <x:c r="AG71" s="44"/>
      <x:c r="AH71" s="42" t="str">
        <x:v>Not disclosed</x:v>
      </x:c>
      <x:c r="AI71" s="47"/>
      <x:c r="AJ71" s="47"/>
      <x:c r="AK71" s="42" t="str">
        <x:v>Not disclosed</x:v>
      </x:c>
      <x:c r="AL71" s="42" t="str">
        <x:v>Not disclosed</x:v>
      </x:c>
      <x:c r="AM71" s="42" t="str">
        <x:v>N/M: EV and aligned-currency financials are required</x:v>
      </x:c>
      <x:c r="AN71" s="42" t="str">
        <x:v>review</x:v>
      </x:c>
      <x:c r="AO71" s="42" t="n">
        <x:v>75</x:v>
      </x:c>
      <x:c r="AP71" s="42" t="str">
        <x:v>unverified</x:v>
      </x:c>
      <x:c r="AQ71" s="42" t="n">
        <x:v>1</x:v>
      </x:c>
      <x:c r="AR71" s="42" t="str">
        <x:v>vk.company</x:v>
      </x:c>
      <x:c r="AS71" s="42" t="str">
        <x:v>https://vk.company/investors/info/12271/</x:v>
      </x:c>
      <x:c r="AT71" s="42" t="str">
        <x:v>VK объявляет о планах по размещению биржевых облигаций объемом 10 млрд рублей - vk.company</x:v>
      </x:c>
    </x:row>
    <x:row r="72">
      <x:c r="A72" s="42" t="str">
        <x:v>DL-b9babb23f2c4462c</x:v>
      </x:c>
      <x:c r="B72" s="44" t="n">
        <x:v>46111</x:v>
      </x:c>
      <x:c r="C72" s="42" t="str">
        <x:v>DCM</x:v>
      </x:c>
      <x:c r="D72" s="42" t="str">
        <x:v>watchlist</x:v>
      </x:c>
      <x:c r="E72" s="42" t="str">
        <x:v>Reported</x:v>
      </x:c>
      <x:c r="F72" s="42" t="str">
        <x:v>VK</x:v>
      </x:c>
      <x:c r="G72" s="42" t="str">
        <x:v>Not applicable</x:v>
      </x:c>
      <x:c r="H72" s="42" t="str">
        <x:v>Not applicable</x:v>
      </x:c>
      <x:c r="I72" s="42" t="str">
        <x:v>Not classified</x:v>
      </x:c>
      <x:c r="J72" s="42" t="str">
        <x:v>Not disclosed</x:v>
      </x:c>
      <x:c r="K72" s="45"/>
      <x:c r="L72" s="45"/>
      <x:c r="M72" s="42" t="str">
        <x:v>Not disclosed</x:v>
      </x:c>
      <x:c r="N72" s="46"/>
      <x:c r="O72" s="42" t="str">
        <x:v>Not applicable</x:v>
      </x:c>
      <x:c r="P72" s="42" t="str">
        <x:v>Not disclosed</x:v>
      </x:c>
      <x:c r="Q72" s="42" t="str">
        <x:v>Bonds</x:v>
      </x:c>
      <x:c r="R72" s="42" t="str">
        <x:v>Not disclosed</x:v>
      </x:c>
      <x:c r="S72" s="42" t="str">
        <x:v>Not disclosed</x:v>
      </x:c>
      <x:c r="T72" s="46"/>
      <x:c r="U72" s="42" t="str">
        <x:v>Not disclosed</x:v>
      </x:c>
      <x:c r="V72" s="46"/>
      <x:c r="W72" s="44"/>
      <x:c r="X72" s="42" t="str">
        <x:v>Not disclosed</x:v>
      </x:c>
      <x:c r="Y72" s="42"/>
      <x:c r="Z72" s="42"/>
      <x:c r="AA72" s="46"/>
      <x:c r="AB72" s="42" t="str">
        <x:v>Not applicable</x:v>
      </x:c>
      <x:c r="AC72" s="46"/>
      <x:c r="AD72" s="42" t="str">
        <x:v>Not disclosed</x:v>
      </x:c>
      <x:c r="AE72" s="45"/>
      <x:c r="AF72" s="45"/>
      <x:c r="AG72" s="44"/>
      <x:c r="AH72" s="42" t="str">
        <x:v>Not disclosed</x:v>
      </x:c>
      <x:c r="AI72" s="47"/>
      <x:c r="AJ72" s="47"/>
      <x:c r="AK72" s="42" t="str">
        <x:v>Not disclosed</x:v>
      </x:c>
      <x:c r="AL72" s="42" t="str">
        <x:v>Not disclosed</x:v>
      </x:c>
      <x:c r="AM72" s="42" t="str">
        <x:v>N/M: EV and aligned-currency financials are required</x:v>
      </x:c>
      <x:c r="AN72" s="42" t="str">
        <x:v>review</x:v>
      </x:c>
      <x:c r="AO72" s="42" t="n">
        <x:v>75</x:v>
      </x:c>
      <x:c r="AP72" s="42" t="str">
        <x:v>unverified</x:v>
      </x:c>
      <x:c r="AQ72" s="42" t="n">
        <x:v>1</x:v>
      </x:c>
      <x:c r="AR72" s="42" t="str">
        <x:v>Финам</x:v>
      </x:c>
      <x:c r="AS72" s="42" t="str">
        <x:v>https://www.finam.ru/publications/item/vk-razmeshchaet-obligatsii-kak-eto-otrazitsya-na-investorakh-v-aktsii-20260330-1740/</x:v>
      </x:c>
      <x:c r="AT72" s="42" t="str">
        <x:v>VK размещает облигации: как это отразится на инвесторах в акции 30.03.2026 - Финам</x:v>
      </x:c>
    </x:row>
    <x:row r="73">
      <x:c r="A73" s="42" t="str">
        <x:v>DL-238a83afad61e805</x:v>
      </x:c>
      <x:c r="B73" s="44" t="n">
        <x:v>46080</x:v>
      </x:c>
      <x:c r="C73" s="42" t="str">
        <x:v>DCM</x:v>
      </x:c>
      <x:c r="D73" s="42" t="str">
        <x:v>deal</x:v>
      </x:c>
      <x:c r="E73" s="42" t="str">
        <x:v>Issued</x:v>
      </x:c>
      <x:c r="F73" s="42" t="str">
        <x:v>SELECTEL</x:v>
      </x:c>
      <x:c r="G73" s="42" t="str">
        <x:v>Not applicable</x:v>
      </x:c>
      <x:c r="H73" s="42" t="str">
        <x:v>Not applicable</x:v>
      </x:c>
      <x:c r="I73" s="42" t="str">
        <x:v>Not classified</x:v>
      </x:c>
      <x:c r="J73" s="42" t="str">
        <x:v>Russia</x:v>
      </x:c>
      <x:c r="K73" s="45" t="n">
        <x:v>7000000000</x:v>
      </x:c>
      <x:c r="L73" s="45"/>
      <x:c r="M73" s="42" t="str">
        <x:v>RUB</x:v>
      </x:c>
      <x:c r="N73" s="46"/>
      <x:c r="O73" s="42" t="str">
        <x:v>Not applicable</x:v>
      </x:c>
      <x:c r="P73" s="42" t="str">
        <x:v>Not disclosed</x:v>
      </x:c>
      <x:c r="Q73" s="42" t="str">
        <x:v>Bonds</x:v>
      </x:c>
      <x:c r="R73" s="42" t="str">
        <x:v>Not disclosed</x:v>
      </x:c>
      <x:c r="S73" s="42" t="str">
        <x:v>Not disclosed</x:v>
      </x:c>
      <x:c r="T73" s="46" t="n">
        <x:v>0.15</x:v>
      </x:c>
      <x:c r="U73" s="42" t="str">
        <x:v>Not disclosed</x:v>
      </x:c>
      <x:c r="V73" s="46"/>
      <x:c r="W73" s="44"/>
      <x:c r="X73" s="42" t="str">
        <x:v>Not disclosed</x:v>
      </x:c>
      <x:c r="Y73" s="42"/>
      <x:c r="Z73" s="42"/>
      <x:c r="AA73" s="46"/>
      <x:c r="AB73" s="42" t="str">
        <x:v>Not applicable</x:v>
      </x:c>
      <x:c r="AC73" s="46"/>
      <x:c r="AD73" s="42" t="str">
        <x:v>Not disclosed</x:v>
      </x:c>
      <x:c r="AE73" s="45"/>
      <x:c r="AF73" s="45"/>
      <x:c r="AG73" s="44"/>
      <x:c r="AH73" s="42" t="str">
        <x:v>Not disclosed</x:v>
      </x:c>
      <x:c r="AI73" s="47"/>
      <x:c r="AJ73" s="47"/>
      <x:c r="AK73" s="42" t="str">
        <x:v>Not disclosed</x:v>
      </x:c>
      <x:c r="AL73" s="42" t="str">
        <x:v>Not disclosed</x:v>
      </x:c>
      <x:c r="AM73" s="42" t="str">
        <x:v>N/M: EV and aligned-currency financials are required</x:v>
      </x:c>
      <x:c r="AN73" s="42" t="str">
        <x:v>approved</x:v>
      </x:c>
      <x:c r="AO73" s="42" t="n">
        <x:v>100</x:v>
      </x:c>
      <x:c r="AP73" s="42" t="str">
        <x:v>confirmed</x:v>
      </x:c>
      <x:c r="AQ73" s="42" t="n">
        <x:v>1</x:v>
      </x:c>
      <x:c r="AR73" s="42" t="str">
        <x:v>Selectel Newsroom</x:v>
      </x:c>
      <x:c r="AS73" s="42" t="str">
        <x:v>https://selectel.ru/about/newsroom/news/selectel-razmestil-novyj-vypusk-obligaczij-i-privlek-7-milliardov-rublej-na-razvitie-biznesa/</x:v>
      </x:c>
      <x:c r="AT73" s="42" t="str">
        <x:v>Selectel разместил новый выпуск облигаций и привлек 7 миллиардов рублей на развитие бизнеса</x:v>
      </x:c>
    </x:row>
    <x:row r="74">
      <x:c r="A74" s="42" t="str">
        <x:v>DL-251bf0d0b7b600c1</x:v>
      </x:c>
      <x:c r="B74" s="44" t="n">
        <x:v>45642</x:v>
      </x:c>
      <x:c r="C74" s="42" t="str">
        <x:v>M&amp;A</x:v>
      </x:c>
      <x:c r="D74" s="42" t="str">
        <x:v>deal</x:v>
      </x:c>
      <x:c r="E74" s="42" t="str">
        <x:v>Confirmed</x:v>
      </x:c>
      <x:c r="F74" s="42" t="str">
        <x:v>Not disclosed</x:v>
      </x:c>
      <x:c r="G74" s="42" t="str">
        <x:v>Not disclosed</x:v>
      </x:c>
      <x:c r="H74" s="42" t="str">
        <x:v>Not disclosed</x:v>
      </x:c>
      <x:c r="I74" s="42" t="str">
        <x:v>Technology</x:v>
      </x:c>
      <x:c r="J74" s="42" t="str">
        <x:v>Not disclosed</x:v>
      </x:c>
      <x:c r="K74" s="45"/>
      <x:c r="L74" s="45"/>
      <x:c r="M74" s="42" t="str">
        <x:v>Not disclosed</x:v>
      </x:c>
      <x:c r="N74" s="46"/>
      <x:c r="O74" s="42" t="str">
        <x:v>Not disclosed</x:v>
      </x:c>
      <x:c r="P74" s="42" t="str">
        <x:v>Not disclosed</x:v>
      </x:c>
      <x:c r="Q74" s="42" t="str">
        <x:v>Acquisition / disposal</x:v>
      </x:c>
      <x:c r="R74" s="42" t="str">
        <x:v>Not applicable</x:v>
      </x:c>
      <x:c r="S74" s="42" t="str">
        <x:v>Not applicable</x:v>
      </x:c>
      <x:c r="T74" s="46"/>
      <x:c r="U74" s="42" t="str">
        <x:v>Not applicable</x:v>
      </x:c>
      <x:c r="V74" s="46"/>
      <x:c r="W74" s="44"/>
      <x:c r="X74" s="42" t="str">
        <x:v>Not applicable</x:v>
      </x:c>
      <x:c r="Y74" s="42"/>
      <x:c r="Z74" s="42"/>
      <x:c r="AA74" s="46"/>
      <x:c r="AB74" s="42" t="str">
        <x:v>Not applicable</x:v>
      </x:c>
      <x:c r="AC74" s="46"/>
      <x:c r="AD74" s="42" t="str">
        <x:v>Not disclosed</x:v>
      </x:c>
      <x:c r="AE74" s="45"/>
      <x:c r="AF74" s="45"/>
      <x:c r="AG74" s="44"/>
      <x:c r="AH74" s="42" t="str">
        <x:v>Not disclosed</x:v>
      </x:c>
      <x:c r="AI74" s="47"/>
      <x:c r="AJ74" s="47"/>
      <x:c r="AK74" s="42" t="str">
        <x:v>Not disclosed</x:v>
      </x:c>
      <x:c r="AL74" s="42" t="str">
        <x:v>Not disclosed</x:v>
      </x:c>
      <x:c r="AM74" s="42" t="str">
        <x:v>N/M: EV and aligned-currency financials are required</x:v>
      </x:c>
      <x:c r="AN74" s="42" t="str">
        <x:v>review</x:v>
      </x:c>
      <x:c r="AO74" s="42" t="n">
        <x:v>65</x:v>
      </x:c>
      <x:c r="AP74" s="42" t="str">
        <x:v>confirmed</x:v>
      </x:c>
      <x:c r="AQ74" s="42" t="n">
        <x:v>1</x:v>
      </x:c>
      <x:c r="AR74" s="42" t="str">
        <x:v>Selectel Newsroom</x:v>
      </x:c>
      <x:c r="AS74" s="42" t="str">
        <x:v>https://selectel.ru/about/newsroom/news/selectel-soobshchaet-o-priobretenii-oblachnogo-provajdera-servers-ru/</x:v>
      </x:c>
      <x:c r="AT74" s="42" t="str">
        <x:v>Selectel сообщает о приобретении облачного провайдера Servers.ru</x:v>
      </x:c>
    </x:row>
    <x:row r="75">
      <x:c r="A75" s="42" t="str">
        <x:v>DL-aa5a93661389a659</x:v>
      </x:c>
      <x:c r="B75" s="44" t="n">
        <x:v>45611</x:v>
      </x:c>
      <x:c r="C75" s="42" t="str">
        <x:v>DCM</x:v>
      </x:c>
      <x:c r="D75" s="42" t="str">
        <x:v>deal</x:v>
      </x:c>
      <x:c r="E75" s="42" t="str">
        <x:v>Announced</x:v>
      </x:c>
      <x:c r="F75" s="42" t="str">
        <x:v>SELECTEL</x:v>
      </x:c>
      <x:c r="G75" s="42" t="str">
        <x:v>Not applicable</x:v>
      </x:c>
      <x:c r="H75" s="42" t="str">
        <x:v>Not applicable</x:v>
      </x:c>
      <x:c r="I75" s="42" t="str">
        <x:v>Financials</x:v>
      </x:c>
      <x:c r="J75" s="42" t="str">
        <x:v>Russia</x:v>
      </x:c>
      <x:c r="K75" s="45" t="n">
        <x:v>3000000000</x:v>
      </x:c>
      <x:c r="L75" s="45"/>
      <x:c r="M75" s="42" t="str">
        <x:v>RUB</x:v>
      </x:c>
      <x:c r="N75" s="46"/>
      <x:c r="O75" s="42" t="str">
        <x:v>Not applicable</x:v>
      </x:c>
      <x:c r="P75" s="42" t="str">
        <x:v>Not disclosed</x:v>
      </x:c>
      <x:c r="Q75" s="42" t="str">
        <x:v>Bonds</x:v>
      </x:c>
      <x:c r="R75" s="42" t="str">
        <x:v>Not disclosed</x:v>
      </x:c>
      <x:c r="S75" s="42" t="str">
        <x:v>Not disclosed</x:v>
      </x:c>
      <x:c r="T75" s="46"/>
      <x:c r="U75" s="42" t="str">
        <x:v>Floating</x:v>
      </x:c>
      <x:c r="V75" s="46"/>
      <x:c r="W75" s="44"/>
      <x:c r="X75" s="42" t="str">
        <x:v>2.5 года</x:v>
      </x:c>
      <x:c r="Y75" s="42"/>
      <x:c r="Z75" s="42"/>
      <x:c r="AA75" s="46"/>
      <x:c r="AB75" s="42" t="str">
        <x:v>Not applicable</x:v>
      </x:c>
      <x:c r="AC75" s="46"/>
      <x:c r="AD75" s="42" t="str">
        <x:v>финансирования инвестиционной программы</x:v>
      </x:c>
      <x:c r="AE75" s="45"/>
      <x:c r="AF75" s="45"/>
      <x:c r="AG75" s="44"/>
      <x:c r="AH75" s="42" t="str">
        <x:v>Not disclosed</x:v>
      </x:c>
      <x:c r="AI75" s="47"/>
      <x:c r="AJ75" s="47"/>
      <x:c r="AK75" s="42" t="str">
        <x:v>Not disclosed</x:v>
      </x:c>
      <x:c r="AL75" s="42" t="str">
        <x:v>Not disclosed</x:v>
      </x:c>
      <x:c r="AM75" s="42" t="str">
        <x:v>N/M: EV and aligned-currency financials are required</x:v>
      </x:c>
      <x:c r="AN75" s="42" t="str">
        <x:v>approved</x:v>
      </x:c>
      <x:c r="AO75" s="42" t="n">
        <x:v>100</x:v>
      </x:c>
      <x:c r="AP75" s="42" t="str">
        <x:v>confirmed</x:v>
      </x:c>
      <x:c r="AQ75" s="42" t="n">
        <x:v>1</x:v>
      </x:c>
      <x:c r="AR75" s="42" t="str">
        <x:v>Selectel Newsroom</x:v>
      </x:c>
      <x:c r="AS75" s="42" t="str">
        <x:v>https://selectel.ru/about/newsroom/news/selectel-planiruet-razmeshhenie-obligaczij-obemom-3-milliarda-rublej-2/</x:v>
      </x:c>
      <x:c r="AT75" s="42" t="str">
        <x:v>Selectel планирует размещение облигаций объемом 3 миллиарда рублей</x:v>
      </x:c>
    </x:row>
    <x:row r="76">
      <x:c r="A76" s="42" t="str">
        <x:v>DL-c898acc93d60813b</x:v>
      </x:c>
      <x:c r="B76" s="44" t="n">
        <x:v>45391</x:v>
      </x:c>
      <x:c r="C76" s="42" t="str">
        <x:v>DCM</x:v>
      </x:c>
      <x:c r="D76" s="42" t="str">
        <x:v>deal</x:v>
      </x:c>
      <x:c r="E76" s="42" t="str">
        <x:v>Confirmed</x:v>
      </x:c>
      <x:c r="F76" s="42" t="str">
        <x:v>SELECTEL</x:v>
      </x:c>
      <x:c r="G76" s="42" t="str">
        <x:v>Not applicable</x:v>
      </x:c>
      <x:c r="H76" s="42" t="str">
        <x:v>Not applicable</x:v>
      </x:c>
      <x:c r="I76" s="42" t="str">
        <x:v>Not classified</x:v>
      </x:c>
      <x:c r="J76" s="42" t="str">
        <x:v>Russia</x:v>
      </x:c>
      <x:c r="K76" s="45" t="n">
        <x:v>4000000000</x:v>
      </x:c>
      <x:c r="L76" s="45"/>
      <x:c r="M76" s="42" t="str">
        <x:v>RUB</x:v>
      </x:c>
      <x:c r="N76" s="46"/>
      <x:c r="O76" s="42" t="str">
        <x:v>Not applicable</x:v>
      </x:c>
      <x:c r="P76" s="42" t="str">
        <x:v>Not disclosed</x:v>
      </x:c>
      <x:c r="Q76" s="42" t="str">
        <x:v>Bonds</x:v>
      </x:c>
      <x:c r="R76" s="42" t="str">
        <x:v>Not disclosed</x:v>
      </x:c>
      <x:c r="S76" s="42" t="str">
        <x:v>Not disclosed</x:v>
      </x:c>
      <x:c r="T76" s="46" t="n">
        <x:v>0.15</x:v>
      </x:c>
      <x:c r="U76" s="42" t="str">
        <x:v>Not disclosed</x:v>
      </x:c>
      <x:c r="V76" s="46"/>
      <x:c r="W76" s="44"/>
      <x:c r="X76" s="42" t="str">
        <x:v>2 года</x:v>
      </x:c>
      <x:c r="Y76" s="42"/>
      <x:c r="Z76" s="42"/>
      <x:c r="AA76" s="46"/>
      <x:c r="AB76" s="42" t="str">
        <x:v>Not applicable</x:v>
      </x:c>
      <x:c r="AC76" s="46"/>
      <x:c r="AD76" s="42" t="str">
        <x:v>Not disclosed</x:v>
      </x:c>
      <x:c r="AE76" s="45"/>
      <x:c r="AF76" s="45"/>
      <x:c r="AG76" s="44"/>
      <x:c r="AH76" s="42" t="str">
        <x:v>Not disclosed</x:v>
      </x:c>
      <x:c r="AI76" s="47"/>
      <x:c r="AJ76" s="47"/>
      <x:c r="AK76" s="42" t="str">
        <x:v>Not disclosed</x:v>
      </x:c>
      <x:c r="AL76" s="42" t="str">
        <x:v>Not disclosed</x:v>
      </x:c>
      <x:c r="AM76" s="42" t="str">
        <x:v>N/M: EV and aligned-currency financials are required</x:v>
      </x:c>
      <x:c r="AN76" s="42" t="str">
        <x:v>approved</x:v>
      </x:c>
      <x:c r="AO76" s="42" t="n">
        <x:v>100</x:v>
      </x:c>
      <x:c r="AP76" s="42" t="str">
        <x:v>confirmed</x:v>
      </x:c>
      <x:c r="AQ76" s="42" t="n">
        <x:v>1</x:v>
      </x:c>
      <x:c r="AR76" s="42" t="str">
        <x:v>Selectel Newsroom</x:v>
      </x:c>
      <x:c r="AS76" s="42" t="str">
        <x:v>https://selectel.ru/about/newsroom/news/selectel-na-fone-povyshennogo-sprosa-na-obligaczii-chetvertogo-vypuska-uvelichil-obem-razmeshheniya-do-4-mlrd-rublej/</x:v>
      </x:c>
      <x:c r="AT76" s="42" t="str">
        <x:v>Selectel на фоне повышенного спроса на облигации четвертого выпуска увеличил объем размещения до 4 млрд рублей</x:v>
      </x:c>
    </x:row>
    <x:row r="77">
      <x:c r="A77" s="42" t="str">
        <x:v>DL-3b4a4419ab6b81bf</x:v>
      </x:c>
      <x:c r="B77" s="44" t="n">
        <x:v>45357</x:v>
      </x:c>
      <x:c r="C77" s="42" t="str">
        <x:v>DCM</x:v>
      </x:c>
      <x:c r="D77" s="42" t="str">
        <x:v>deal</x:v>
      </x:c>
      <x:c r="E77" s="42" t="str">
        <x:v>Announced</x:v>
      </x:c>
      <x:c r="F77" s="42" t="str">
        <x:v>SELECTEL</x:v>
      </x:c>
      <x:c r="G77" s="42" t="str">
        <x:v>Not applicable</x:v>
      </x:c>
      <x:c r="H77" s="42" t="str">
        <x:v>Not applicable</x:v>
      </x:c>
      <x:c r="I77" s="42" t="str">
        <x:v>Not classified</x:v>
      </x:c>
      <x:c r="J77" s="42" t="str">
        <x:v>Russia</x:v>
      </x:c>
      <x:c r="K77" s="45" t="n">
        <x:v>3000000000</x:v>
      </x:c>
      <x:c r="L77" s="45"/>
      <x:c r="M77" s="42" t="str">
        <x:v>RUB</x:v>
      </x:c>
      <x:c r="N77" s="46"/>
      <x:c r="O77" s="42" t="str">
        <x:v>Not applicable</x:v>
      </x:c>
      <x:c r="P77" s="42" t="str">
        <x:v>Not disclosed</x:v>
      </x:c>
      <x:c r="Q77" s="42" t="str">
        <x:v>Bonds</x:v>
      </x:c>
      <x:c r="R77" s="42" t="str">
        <x:v>Not disclosed</x:v>
      </x:c>
      <x:c r="S77" s="42" t="str">
        <x:v>Not disclosed</x:v>
      </x:c>
      <x:c r="T77" s="46"/>
      <x:c r="U77" s="42" t="str">
        <x:v>Not disclosed</x:v>
      </x:c>
      <x:c r="V77" s="46"/>
      <x:c r="W77" s="44"/>
      <x:c r="X77" s="42" t="str">
        <x:v>Not disclosed</x:v>
      </x:c>
      <x:c r="Y77" s="42"/>
      <x:c r="Z77" s="42"/>
      <x:c r="AA77" s="46"/>
      <x:c r="AB77" s="42" t="str">
        <x:v>Not applicable</x:v>
      </x:c>
      <x:c r="AC77" s="46"/>
      <x:c r="AD77" s="42" t="str">
        <x:v>Not disclosed</x:v>
      </x:c>
      <x:c r="AE77" s="45"/>
      <x:c r="AF77" s="45"/>
      <x:c r="AG77" s="44"/>
      <x:c r="AH77" s="42" t="str">
        <x:v>Not disclosed</x:v>
      </x:c>
      <x:c r="AI77" s="47"/>
      <x:c r="AJ77" s="47"/>
      <x:c r="AK77" s="42" t="str">
        <x:v>Not disclosed</x:v>
      </x:c>
      <x:c r="AL77" s="42" t="str">
        <x:v>Not disclosed</x:v>
      </x:c>
      <x:c r="AM77" s="42" t="str">
        <x:v>N/M: EV and aligned-currency financials are required</x:v>
      </x:c>
      <x:c r="AN77" s="42" t="str">
        <x:v>approved</x:v>
      </x:c>
      <x:c r="AO77" s="42" t="n">
        <x:v>100</x:v>
      </x:c>
      <x:c r="AP77" s="42" t="str">
        <x:v>confirmed</x:v>
      </x:c>
      <x:c r="AQ77" s="42" t="n">
        <x:v>1</x:v>
      </x:c>
      <x:c r="AR77" s="42" t="str">
        <x:v>Selectel Newsroom</x:v>
      </x:c>
      <x:c r="AS77" s="42" t="str">
        <x:v>https://selectel.ru/about/newsroom/news/selectel-planiruet-razmeshhenie-obligaczij-obemom-3-milliarda-rublej/</x:v>
      </x:c>
      <x:c r="AT77" s="42" t="str">
        <x:v>Selectel планирует размещение облигаций объемом 3 миллиарда рублей</x:v>
      </x:c>
    </x:row>
    <x:row r="78">
      <x:c r="A78" s="42" t="str">
        <x:v>DL-0242cf80b3f97c9c</x:v>
      </x:c>
      <x:c r="B78" s="44" t="n">
        <x:v>45288</x:v>
      </x:c>
      <x:c r="C78" s="42" t="str">
        <x:v>M&amp;A</x:v>
      </x:c>
      <x:c r="D78" s="42" t="str">
        <x:v>deal</x:v>
      </x:c>
      <x:c r="E78" s="42" t="str">
        <x:v>Confirmed</x:v>
      </x:c>
      <x:c r="F78" s="42" t="str">
        <x:v>25% провайдера IT-инфраструктуры Selectel</x:v>
      </x:c>
      <x:c r="G78" s="42" t="str">
        <x:v>Инвестиционный фонд Tier 5</x:v>
      </x:c>
      <x:c r="H78" s="42" t="str">
        <x:v>Not disclosed</x:v>
      </x:c>
      <x:c r="I78" s="42" t="str">
        <x:v>Not classified</x:v>
      </x:c>
      <x:c r="J78" s="42" t="str">
        <x:v>Russia</x:v>
      </x:c>
      <x:c r="K78" s="45"/>
      <x:c r="L78" s="45"/>
      <x:c r="M78" s="42" t="str">
        <x:v>Not disclosed</x:v>
      </x:c>
      <x:c r="N78" s="46"/>
      <x:c r="O78" s="42" t="str">
        <x:v>Not disclosed</x:v>
      </x:c>
      <x:c r="P78" s="42" t="str">
        <x:v>Not disclosed</x:v>
      </x:c>
      <x:c r="Q78" s="42" t="str">
        <x:v>Acquisition / disposal</x:v>
      </x:c>
      <x:c r="R78" s="42" t="str">
        <x:v>Not applicable</x:v>
      </x:c>
      <x:c r="S78" s="42" t="str">
        <x:v>Not applicable</x:v>
      </x:c>
      <x:c r="T78" s="46"/>
      <x:c r="U78" s="42" t="str">
        <x:v>Not applicable</x:v>
      </x:c>
      <x:c r="V78" s="46"/>
      <x:c r="W78" s="44"/>
      <x:c r="X78" s="42" t="str">
        <x:v>Not applicable</x:v>
      </x:c>
      <x:c r="Y78" s="42"/>
      <x:c r="Z78" s="42"/>
      <x:c r="AA78" s="46"/>
      <x:c r="AB78" s="42" t="str">
        <x:v>Not applicable</x:v>
      </x:c>
      <x:c r="AC78" s="46"/>
      <x:c r="AD78" s="42" t="str">
        <x:v>Not disclosed</x:v>
      </x:c>
      <x:c r="AE78" s="45"/>
      <x:c r="AF78" s="45"/>
      <x:c r="AG78" s="44"/>
      <x:c r="AH78" s="42" t="str">
        <x:v>Not disclosed</x:v>
      </x:c>
      <x:c r="AI78" s="47"/>
      <x:c r="AJ78" s="47"/>
      <x:c r="AK78" s="42" t="str">
        <x:v>Not disclosed</x:v>
      </x:c>
      <x:c r="AL78" s="42" t="str">
        <x:v>Not disclosed</x:v>
      </x:c>
      <x:c r="AM78" s="42" t="str">
        <x:v>N/M: EV and aligned-currency financials are required</x:v>
      </x:c>
      <x:c r="AN78" s="42" t="str">
        <x:v>review</x:v>
      </x:c>
      <x:c r="AO78" s="42" t="n">
        <x:v>40</x:v>
      </x:c>
      <x:c r="AP78" s="42" t="str">
        <x:v>confirmed</x:v>
      </x:c>
      <x:c r="AQ78" s="42" t="n">
        <x:v>1</x:v>
      </x:c>
      <x:c r="AR78" s="42" t="str">
        <x:v>Selectel Newsroom</x:v>
      </x:c>
      <x:c r="AS78" s="42" t="str">
        <x:v>https://selectel.ru/about/newsroom/news/investicionnyj-fond-tier-5-priobrel-25-provajdera-it-infrastruktury-selectel/</x:v>
      </x:c>
      <x:c r="AT78" s="42" t="str">
        <x:v>Инвестиционный фонд Tier 5 приобрел 25% провайдера IT-инфраструктуры Selectel</x:v>
      </x:c>
    </x:row>
    <x:row r="79">
      <x:c r="A79" s="42" t="str">
        <x:v>CURATED-MA-CISCO-SPLUNK-2023</x:v>
      </x:c>
      <x:c r="B79" s="44" t="n">
        <x:v>45190</x:v>
      </x:c>
      <x:c r="C79" s="42" t="str">
        <x:v>M&amp;A</x:v>
      </x:c>
      <x:c r="D79" s="42" t="str">
        <x:v>deal</x:v>
      </x:c>
      <x:c r="E79" s="42" t="str">
        <x:v>Closed</x:v>
      </x:c>
      <x:c r="F79" s="42" t="str">
        <x:v>Splunk</x:v>
      </x:c>
      <x:c r="G79" s="42" t="str">
        <x:v>Cisco</x:v>
      </x:c>
      <x:c r="H79" s="42" t="str">
        <x:v>Public shareholders</x:v>
      </x:c>
      <x:c r="I79" s="42" t="str">
        <x:v>Technology</x:v>
      </x:c>
      <x:c r="J79" s="42" t="str">
        <x:v>United States</x:v>
      </x:c>
      <x:c r="K79" s="45" t="n">
        <x:v>28000000000</x:v>
      </x:c>
      <x:c r="L79" s="45"/>
      <x:c r="M79" s="42" t="str">
        <x:v>USD</x:v>
      </x:c>
      <x:c r="N79" s="46" t="n">
        <x:v>1</x:v>
      </x:c>
      <x:c r="O79" s="42" t="str">
        <x:v>Cash</x:v>
      </x:c>
      <x:c r="P79" s="42" t="str">
        <x:v>Not disclosed</x:v>
      </x:c>
      <x:c r="Q79" s="42"/>
      <x:c r="R79" s="42" t="str">
        <x:v>Not applicable</x:v>
      </x:c>
      <x:c r="S79" s="42" t="str">
        <x:v>Not applicable</x:v>
      </x:c>
      <x:c r="T79" s="46"/>
      <x:c r="U79" s="42" t="str">
        <x:v>Not applicable</x:v>
      </x:c>
      <x:c r="V79" s="46"/>
      <x:c r="W79" s="44"/>
      <x:c r="X79" s="42" t="str">
        <x:v>Not applicable</x:v>
      </x:c>
      <x:c r="Y79" s="42"/>
      <x:c r="Z79" s="42"/>
      <x:c r="AA79" s="46"/>
      <x:c r="AB79" s="42" t="str">
        <x:v>Not applicable</x:v>
      </x:c>
      <x:c r="AC79" s="46"/>
      <x:c r="AD79" s="42" t="str">
        <x:v>Create a scaled security and observability platform</x:v>
      </x:c>
      <x:c r="AE79" s="45" t="n">
        <x:v>3653708000</x:v>
      </x:c>
      <x:c r="AF79" s="45"/>
      <x:c r="AG79" s="44" t="n">
        <x:v>44957</x:v>
      </x:c>
      <x:c r="AH79" s="42" t="str">
        <x:v>USD</x:v>
      </x:c>
      <x:c r="AI79" s="47"/>
      <x:c r="AJ79" s="47"/>
      <x:c r="AK79" s="42" t="str">
        <x:v>Splunk FY2023 Form 10-K</x:v>
      </x:c>
      <x:c r="AL79" s="42" t="str">
        <x:v>Audited GAAP revenue; EBITDA not calculated because the transaction announcement disclosed equity value rather than EV</x:v>
      </x:c>
      <x:c r="AM79" s="42" t="str">
        <x:v>Calculated from disclosed EV and latest audited financials available at announcement</x:v>
      </x:c>
      <x:c r="AN79" s="42" t="str">
        <x:v>approved</x:v>
      </x:c>
      <x:c r="AO79" s="42" t="n">
        <x:v>100</x:v>
      </x:c>
      <x:c r="AP79" s="42" t="str">
        <x:v>confirmed</x:v>
      </x:c>
      <x:c r="AQ79" s="42" t="n">
        <x:v>2</x:v>
      </x:c>
      <x:c r="AR79" s="42" t="str">
        <x:v>Cisco transaction announcement</x:v>
      </x:c>
      <x:c r="AS79" s="42" t="str">
        <x:v>https://investor.cisco.com/news/news-details/2023/Cisco-to-Acquire-Splunk-to-Help-Make-Organizations-More-Secure-and-Resilient-in-an-AI-Powered-World/default.aspx</x:v>
      </x:c>
      <x:c r="AT79" s="42" t="str">
        <x:v>Cisco acquired Splunk in an all-cash transaction</x:v>
      </x:c>
    </x:row>
    <x:row r="80">
      <x:c r="A80" s="42" t="str">
        <x:v>CURATED-MA-BROADCOM-VMWARE-2022</x:v>
      </x:c>
      <x:c r="B80" s="44" t="n">
        <x:v>44707</x:v>
      </x:c>
      <x:c r="C80" s="42" t="str">
        <x:v>M&amp;A</x:v>
      </x:c>
      <x:c r="D80" s="42" t="str">
        <x:v>deal</x:v>
      </x:c>
      <x:c r="E80" s="42" t="str">
        <x:v>Closed</x:v>
      </x:c>
      <x:c r="F80" s="42" t="str">
        <x:v>VMware</x:v>
      </x:c>
      <x:c r="G80" s="42" t="str">
        <x:v>Broadcom</x:v>
      </x:c>
      <x:c r="H80" s="42" t="str">
        <x:v>Public shareholders</x:v>
      </x:c>
      <x:c r="I80" s="42" t="str">
        <x:v>Technology</x:v>
      </x:c>
      <x:c r="J80" s="42" t="str">
        <x:v>United States</x:v>
      </x:c>
      <x:c r="K80" s="45" t="n">
        <x:v>61000000000</x:v>
      </x:c>
      <x:c r="L80" s="45" t="n">
        <x:v>69000000000</x:v>
      </x:c>
      <x:c r="M80" s="42" t="str">
        <x:v>USD</x:v>
      </x:c>
      <x:c r="N80" s="46" t="n">
        <x:v>1</x:v>
      </x:c>
      <x:c r="O80" s="42" t="str">
        <x:v>Cash and shares</x:v>
      </x:c>
      <x:c r="P80" s="42" t="str">
        <x:v>Barclays, Morgan Stanley, Citi, Goldman Sachs, J.P. Morgan, BofA Securities</x:v>
      </x:c>
      <x:c r="Q80" s="42" t="str">
        <x:v>Acquisition / disposal</x:v>
      </x:c>
      <x:c r="R80" s="42" t="str">
        <x:v>Not applicable</x:v>
      </x:c>
      <x:c r="S80" s="42" t="str">
        <x:v>Not applicable</x:v>
      </x:c>
      <x:c r="T80" s="46"/>
      <x:c r="U80" s="42" t="str">
        <x:v>Not applicable</x:v>
      </x:c>
      <x:c r="V80" s="46"/>
      <x:c r="W80" s="44"/>
      <x:c r="X80" s="42" t="str">
        <x:v>Not applicable</x:v>
      </x:c>
      <x:c r="Y80" s="42"/>
      <x:c r="Z80" s="42"/>
      <x:c r="AA80" s="46"/>
      <x:c r="AB80" s="42" t="str">
        <x:v>Not applicable</x:v>
      </x:c>
      <x:c r="AC80" s="46"/>
      <x:c r="AD80" s="42" t="str">
        <x:v>Scale Broadcom's infrastructure software business and expand enterprise software exposure</x:v>
      </x:c>
      <x:c r="AE80" s="45" t="n">
        <x:v>12851000000</x:v>
      </x:c>
      <x:c r="AF80" s="45" t="n">
        <x:v>2966000000</x:v>
      </x:c>
      <x:c r="AG80" s="44" t="n">
        <x:v>44589</x:v>
      </x:c>
      <x:c r="AH80" s="42" t="str">
        <x:v>USD</x:v>
      </x:c>
      <x:c r="AI80" s="47" t="n">
        <x:v>5.369231966383939</x:v>
      </x:c>
      <x:c r="AJ80" s="47" t="n">
        <x:v>23.263654753877276</x:v>
      </x:c>
      <x:c r="AK80" s="42" t="str">
        <x:v>VMware FY2022 Form 10-K</x:v>
      </x:c>
      <x:c r="AL80" s="42" t="str">
        <x:v>GAAP EBITDA calculated as operating income plus depreciation and definite-lived intangible amortization</x:v>
      </x:c>
      <x:c r="AM80" s="42" t="str">
        <x:v>Calculated from disclosed EV and latest audited financials available at announcement</x:v>
      </x:c>
      <x:c r="AN80" s="42" t="str">
        <x:v>approved</x:v>
      </x:c>
      <x:c r="AO80" s="42" t="n">
        <x:v>100</x:v>
      </x:c>
      <x:c r="AP80" s="42" t="str">
        <x:v>confirmed</x:v>
      </x:c>
      <x:c r="AQ80" s="42" t="n">
        <x:v>2</x:v>
      </x:c>
      <x:c r="AR80" s="42" t="str">
        <x:v>Broadcom transaction announcement</x:v>
      </x:c>
      <x:c r="AS80" s="42" t="str">
        <x:v>https://investors.broadcom.com/news-releases/news-release-details/broadcom-acquire-vmware-approximately-61-billion-cash-and-stock</x:v>
      </x:c>
      <x:c r="AT80" s="42" t="str">
        <x:v>Broadcom acquired VMware in a cash-and-stock transaction</x:v>
      </x:c>
    </x:row>
    <x:row r="81">
      <x:c r="A81" s="42" t="str">
        <x:v>CURATED-MA-THOMA-BRAVO-ANAPLAN-2022</x:v>
      </x:c>
      <x:c r="B81" s="44" t="n">
        <x:v>44640</x:v>
      </x:c>
      <x:c r="C81" s="42" t="str">
        <x:v>M&amp;A</x:v>
      </x:c>
      <x:c r="D81" s="42" t="str">
        <x:v>deal</x:v>
      </x:c>
      <x:c r="E81" s="42" t="str">
        <x:v>Closed</x:v>
      </x:c>
      <x:c r="F81" s="42" t="str">
        <x:v>Anaplan</x:v>
      </x:c>
      <x:c r="G81" s="42" t="str">
        <x:v>Thoma Bravo</x:v>
      </x:c>
      <x:c r="H81" s="42" t="str">
        <x:v>Public shareholders</x:v>
      </x:c>
      <x:c r="I81" s="42" t="str">
        <x:v>Technology</x:v>
      </x:c>
      <x:c r="J81" s="42" t="str">
        <x:v>United States</x:v>
      </x:c>
      <x:c r="K81" s="45" t="n">
        <x:v>10400000000</x:v>
      </x:c>
      <x:c r="L81" s="45"/>
      <x:c r="M81" s="42" t="str">
        <x:v>USD</x:v>
      </x:c>
      <x:c r="N81" s="46" t="n">
        <x:v>1</x:v>
      </x:c>
      <x:c r="O81" s="42" t="str">
        <x:v>Cash</x:v>
      </x:c>
      <x:c r="P81" s="42" t="str">
        <x:v>Not disclosed</x:v>
      </x:c>
      <x:c r="Q81" s="42"/>
      <x:c r="R81" s="42" t="str">
        <x:v>Not applicable</x:v>
      </x:c>
      <x:c r="S81" s="42" t="str">
        <x:v>Not applicable</x:v>
      </x:c>
      <x:c r="T81" s="46"/>
      <x:c r="U81" s="42" t="str">
        <x:v>Not applicable</x:v>
      </x:c>
      <x:c r="V81" s="46"/>
      <x:c r="W81" s="44"/>
      <x:c r="X81" s="42" t="str">
        <x:v>Not applicable</x:v>
      </x:c>
      <x:c r="Y81" s="42"/>
      <x:c r="Z81" s="42"/>
      <x:c r="AA81" s="46"/>
      <x:c r="AB81" s="42" t="str">
        <x:v>Not applicable</x:v>
      </x:c>
      <x:c r="AC81" s="46"/>
      <x:c r="AD81" s="42" t="str">
        <x:v>Accelerate Anaplan's connected planning platform as a private company</x:v>
      </x:c>
      <x:c r="AE81" s="45" t="n">
        <x:v>592200000</x:v>
      </x:c>
      <x:c r="AF81" s="45"/>
      <x:c r="AG81" s="44" t="n">
        <x:v>44592</x:v>
      </x:c>
      <x:c r="AH81" s="42" t="str">
        <x:v>USD</x:v>
      </x:c>
      <x:c r="AI81" s="47"/>
      <x:c r="AJ81" s="47"/>
      <x:c r="AK81" s="42" t="str">
        <x:v>Anaplan FY2022 Form 10-K</x:v>
      </x:c>
      <x:c r="AL81" s="42" t="str">
        <x:v>Audited GAAP revenue; filed after announcement and transaction EV was not separately disclosed</x:v>
      </x:c>
      <x:c r="AM81" s="42" t="str">
        <x:v>Calculated from disclosed EV and audited financials; report became available after announcement</x:v>
      </x:c>
      <x:c r="AN81" s="42" t="str">
        <x:v>approved</x:v>
      </x:c>
      <x:c r="AO81" s="42" t="n">
        <x:v>100</x:v>
      </x:c>
      <x:c r="AP81" s="42" t="str">
        <x:v>confirmed</x:v>
      </x:c>
      <x:c r="AQ81" s="42" t="n">
        <x:v>2</x:v>
      </x:c>
      <x:c r="AR81" s="42" t="str">
        <x:v>Anaplan completion announcement</x:v>
      </x:c>
      <x:c r="AS81" s="42" t="str">
        <x:v>https://www.anaplan.com/news/thoma-bravo-completes-acquisition-of-anaplan/</x:v>
      </x:c>
      <x:c r="AT81" s="42" t="str">
        <x:v>Thoma Bravo acquired Anaplan in an all-cash transaction</x:v>
      </x:c>
    </x:row>
    <x:row r="82">
      <x:c r="A82" s="42" t="str">
        <x:v>CURATED-MA-VISTA-CITRIX-2022</x:v>
      </x:c>
      <x:c r="B82" s="44" t="n">
        <x:v>44592</x:v>
      </x:c>
      <x:c r="C82" s="42" t="str">
        <x:v>M&amp;A</x:v>
      </x:c>
      <x:c r="D82" s="42" t="str">
        <x:v>deal</x:v>
      </x:c>
      <x:c r="E82" s="42" t="str">
        <x:v>Closed</x:v>
      </x:c>
      <x:c r="F82" s="42" t="str">
        <x:v>Citrix Systems</x:v>
      </x:c>
      <x:c r="G82" s="42" t="str">
        <x:v>Vista Equity Partners and Evergreen Coast Capital</x:v>
      </x:c>
      <x:c r="H82" s="42" t="str">
        <x:v>Public shareholders</x:v>
      </x:c>
      <x:c r="I82" s="42" t="str">
        <x:v>Technology</x:v>
      </x:c>
      <x:c r="J82" s="42" t="str">
        <x:v>United States</x:v>
      </x:c>
      <x:c r="K82" s="45" t="n">
        <x:v>16500000000</x:v>
      </x:c>
      <x:c r="L82" s="45" t="n">
        <x:v>16500000000</x:v>
      </x:c>
      <x:c r="M82" s="42" t="str">
        <x:v>USD</x:v>
      </x:c>
      <x:c r="N82" s="46" t="n">
        <x:v>1</x:v>
      </x:c>
      <x:c r="O82" s="42" t="str">
        <x:v>Cash</x:v>
      </x:c>
      <x:c r="P82" s="42" t="str">
        <x:v>Not disclosed</x:v>
      </x:c>
      <x:c r="Q82" s="42"/>
      <x:c r="R82" s="42" t="str">
        <x:v>Not applicable</x:v>
      </x:c>
      <x:c r="S82" s="42" t="str">
        <x:v>Not applicable</x:v>
      </x:c>
      <x:c r="T82" s="46"/>
      <x:c r="U82" s="42" t="str">
        <x:v>Not applicable</x:v>
      </x:c>
      <x:c r="V82" s="46"/>
      <x:c r="W82" s="44"/>
      <x:c r="X82" s="42" t="str">
        <x:v>Not applicable</x:v>
      </x:c>
      <x:c r="Y82" s="42"/>
      <x:c r="Z82" s="42"/>
      <x:c r="AA82" s="46"/>
      <x:c r="AB82" s="42" t="str">
        <x:v>Not applicable</x:v>
      </x:c>
      <x:c r="AC82" s="46"/>
      <x:c r="AD82" s="42" t="str">
        <x:v>Take Citrix private and combine it with TIBCO Software</x:v>
      </x:c>
      <x:c r="AE82" s="45" t="n">
        <x:v>3217170000</x:v>
      </x:c>
      <x:c r="AF82" s="45"/>
      <x:c r="AG82" s="44" t="n">
        <x:v>44561</x:v>
      </x:c>
      <x:c r="AH82" s="42" t="str">
        <x:v>USD</x:v>
      </x:c>
      <x:c r="AI82" s="47" t="n">
        <x:v>5.1287311519130165</x:v>
      </x:c>
      <x:c r="AJ82" s="47"/>
      <x:c r="AK82" s="42" t="str">
        <x:v>Citrix FY2021 Form 10-K</x:v>
      </x:c>
      <x:c r="AL82" s="42" t="str">
        <x:v>Audited GAAP revenue; filed after announcement and therefore excluded from headline medians</x:v>
      </x:c>
      <x:c r="AM82" s="42" t="str">
        <x:v>Calculated from disclosed EV and audited financials; report became available after announcement</x:v>
      </x:c>
      <x:c r="AN82" s="42" t="str">
        <x:v>approved</x:v>
      </x:c>
      <x:c r="AO82" s="42" t="n">
        <x:v>100</x:v>
      </x:c>
      <x:c r="AP82" s="42" t="str">
        <x:v>confirmed</x:v>
      </x:c>
      <x:c r="AQ82" s="42" t="n">
        <x:v>2</x:v>
      </x:c>
      <x:c r="AR82" s="42" t="str">
        <x:v>Citrix Form 10-K transaction disclosure</x:v>
      </x:c>
      <x:c r="AS82" s="42" t="str">
        <x:v>https://www.sec.gov/Archives/edgar/data/877890/000087789022000019/ctxs-20211231.htm</x:v>
      </x:c>
      <x:c r="AT82" s="42" t="str">
        <x:v>Vista Equity Partners and Evergreen Coast Capital acquired Citrix Systems</x:v>
      </x:c>
    </x:row>
    <x:row r="83">
      <x:c r="A83" s="42" t="str">
        <x:v>CURATED-MA-MICROSOFT-ACTIVISION-2022</x:v>
      </x:c>
      <x:c r="B83" s="44" t="n">
        <x:v>44579</x:v>
      </x:c>
      <x:c r="C83" s="42" t="str">
        <x:v>M&amp;A</x:v>
      </x:c>
      <x:c r="D83" s="42" t="str">
        <x:v>deal</x:v>
      </x:c>
      <x:c r="E83" s="42" t="str">
        <x:v>Closed</x:v>
      </x:c>
      <x:c r="F83" s="42" t="str">
        <x:v>Activision Blizzard</x:v>
      </x:c>
      <x:c r="G83" s="42" t="str">
        <x:v>Microsoft</x:v>
      </x:c>
      <x:c r="H83" s="42" t="str">
        <x:v>Public shareholders</x:v>
      </x:c>
      <x:c r="I83" s="42" t="str">
        <x:v>Technology</x:v>
      </x:c>
      <x:c r="J83" s="42" t="str">
        <x:v>United States</x:v>
      </x:c>
      <x:c r="K83" s="45" t="n">
        <x:v>68700000000</x:v>
      </x:c>
      <x:c r="L83" s="45" t="n">
        <x:v>68700000000</x:v>
      </x:c>
      <x:c r="M83" s="42" t="str">
        <x:v>USD</x:v>
      </x:c>
      <x:c r="N83" s="46" t="n">
        <x:v>1</x:v>
      </x:c>
      <x:c r="O83" s="42" t="str">
        <x:v>Cash</x:v>
      </x:c>
      <x:c r="P83" s="42" t="str">
        <x:v>Goldman Sachs, Allen &amp; Company, Simpson Thacher, Skadden</x:v>
      </x:c>
      <x:c r="Q83" s="42" t="str">
        <x:v>Acquisition / disposal</x:v>
      </x:c>
      <x:c r="R83" s="42" t="str">
        <x:v>Not applicable</x:v>
      </x:c>
      <x:c r="S83" s="42" t="str">
        <x:v>Not applicable</x:v>
      </x:c>
      <x:c r="T83" s="46"/>
      <x:c r="U83" s="42" t="str">
        <x:v>Not applicable</x:v>
      </x:c>
      <x:c r="V83" s="46"/>
      <x:c r="W83" s="44"/>
      <x:c r="X83" s="42" t="str">
        <x:v>Not applicable</x:v>
      </x:c>
      <x:c r="Y83" s="42"/>
      <x:c r="Z83" s="42"/>
      <x:c r="AA83" s="46"/>
      <x:c r="AB83" s="42" t="str">
        <x:v>Not applicable</x:v>
      </x:c>
      <x:c r="AC83" s="46"/>
      <x:c r="AD83" s="42" t="str">
        <x:v>Expand Microsoft Gaming across mobile, PC, console and cloud</x:v>
      </x:c>
      <x:c r="AE83" s="45" t="n">
        <x:v>8086000000</x:v>
      </x:c>
      <x:c r="AF83" s="45"/>
      <x:c r="AG83" s="44" t="n">
        <x:v>44196</x:v>
      </x:c>
      <x:c r="AH83" s="42" t="str">
        <x:v>USD</x:v>
      </x:c>
      <x:c r="AI83" s="47" t="n">
        <x:v>8.496166213208014</x:v>
      </x:c>
      <x:c r="AJ83" s="47"/>
      <x:c r="AK83" s="42" t="str">
        <x:v>Activision Blizzard FY2020 Form 10-K</x:v>
      </x:c>
      <x:c r="AL83" s="42" t="str">
        <x:v>Audited GAAP revenue and operating income; EBITDA intentionally not calculated without separately sourced D&amp;A</x:v>
      </x:c>
      <x:c r="AM83" s="42" t="str">
        <x:v>Calculated from disclosed EV and latest audited financials available at announcement</x:v>
      </x:c>
      <x:c r="AN83" s="42" t="str">
        <x:v>approved</x:v>
      </x:c>
      <x:c r="AO83" s="42" t="n">
        <x:v>100</x:v>
      </x:c>
      <x:c r="AP83" s="42" t="str">
        <x:v>confirmed</x:v>
      </x:c>
      <x:c r="AQ83" s="42" t="n">
        <x:v>2</x:v>
      </x:c>
      <x:c r="AR83" s="42" t="str">
        <x:v>Microsoft transaction announcement</x:v>
      </x:c>
      <x:c r="AS83" s="42" t="str">
        <x:v>https://news.microsoft.com/source/2022/01/18/microsoft-to-acquire-activision-blizzard-to-bring-the-joy-and-community-of-gaming-to-everyone-across-every-device/</x:v>
      </x:c>
      <x:c r="AT83" s="42" t="str">
        <x:v>Microsoft acquired Activision Blizzard in an all-cash transaction</x:v>
      </x:c>
    </x:row>
    <x:row r="84">
      <x:c r="A84" s="42" t="str">
        <x:v>CURATED-MA-SALESFORCE-SLACK-2020</x:v>
      </x:c>
      <x:c r="B84" s="44" t="n">
        <x:v>44166</x:v>
      </x:c>
      <x:c r="C84" s="42" t="str">
        <x:v>M&amp;A</x:v>
      </x:c>
      <x:c r="D84" s="42" t="str">
        <x:v>deal</x:v>
      </x:c>
      <x:c r="E84" s="42" t="str">
        <x:v>Closed</x:v>
      </x:c>
      <x:c r="F84" s="42" t="str">
        <x:v>Slack Technologies</x:v>
      </x:c>
      <x:c r="G84" s="42" t="str">
        <x:v>Salesforce</x:v>
      </x:c>
      <x:c r="H84" s="42" t="str">
        <x:v>Public shareholders</x:v>
      </x:c>
      <x:c r="I84" s="42" t="str">
        <x:v>Technology</x:v>
      </x:c>
      <x:c r="J84" s="42" t="str">
        <x:v>United States</x:v>
      </x:c>
      <x:c r="K84" s="45" t="n">
        <x:v>27700000000</x:v>
      </x:c>
      <x:c r="L84" s="45" t="n">
        <x:v>27700000000</x:v>
      </x:c>
      <x:c r="M84" s="42" t="str">
        <x:v>USD</x:v>
      </x:c>
      <x:c r="N84" s="46" t="n">
        <x:v>1</x:v>
      </x:c>
      <x:c r="O84" s="42" t="str">
        <x:v>Cash and shares</x:v>
      </x:c>
      <x:c r="P84" s="42" t="str">
        <x:v>Not disclosed</x:v>
      </x:c>
      <x:c r="Q84" s="42"/>
      <x:c r="R84" s="42" t="str">
        <x:v>Not applicable</x:v>
      </x:c>
      <x:c r="S84" s="42" t="str">
        <x:v>Not applicable</x:v>
      </x:c>
      <x:c r="T84" s="46"/>
      <x:c r="U84" s="42" t="str">
        <x:v>Not applicable</x:v>
      </x:c>
      <x:c r="V84" s="46"/>
      <x:c r="W84" s="44"/>
      <x:c r="X84" s="42" t="str">
        <x:v>Not applicable</x:v>
      </x:c>
      <x:c r="Y84" s="42"/>
      <x:c r="Z84" s="42"/>
      <x:c r="AA84" s="46"/>
      <x:c r="AB84" s="42" t="str">
        <x:v>Not applicable</x:v>
      </x:c>
      <x:c r="AC84" s="46"/>
      <x:c r="AD84" s="42" t="str">
        <x:v>Combine Salesforce Customer 360 with enterprise collaboration</x:v>
      </x:c>
      <x:c r="AE84" s="45" t="n">
        <x:v>630422000</x:v>
      </x:c>
      <x:c r="AF84" s="45"/>
      <x:c r="AG84" s="44" t="n">
        <x:v>43861</x:v>
      </x:c>
      <x:c r="AH84" s="42" t="str">
        <x:v>USD</x:v>
      </x:c>
      <x:c r="AI84" s="47" t="n">
        <x:v>43.938821931975724</x:v>
      </x:c>
      <x:c r="AJ84" s="47"/>
      <x:c r="AK84" s="42" t="str">
        <x:v>Slack FY2020 Form 10-K</x:v>
      </x:c>
      <x:c r="AL84" s="42" t="str">
        <x:v>Audited GAAP revenue; negative operating result, so EV/EBITDA is N/M</x:v>
      </x:c>
      <x:c r="AM84" s="42" t="str">
        <x:v>Calculated from disclosed EV and latest audited financials available at announcement</x:v>
      </x:c>
      <x:c r="AN84" s="42" t="str">
        <x:v>approved</x:v>
      </x:c>
      <x:c r="AO84" s="42" t="n">
        <x:v>100</x:v>
      </x:c>
      <x:c r="AP84" s="42" t="str">
        <x:v>confirmed</x:v>
      </x:c>
      <x:c r="AQ84" s="42" t="n">
        <x:v>2</x:v>
      </x:c>
      <x:c r="AR84" s="42" t="str">
        <x:v>Salesforce transaction announcement</x:v>
      </x:c>
      <x:c r="AS84" s="42" t="str">
        <x:v>https://www.salesforce.com/news/press-releases/2020/12/01/salesforce-definitive-agreement-update/</x:v>
      </x:c>
      <x:c r="AT84" s="42" t="str">
        <x:v>Salesforce acquired Slack Technologies in a cash-and-stock transaction</x:v>
      </x:c>
    </x:row>
    <x:row r="85">
      <x:c r="A85" s="42" t="str">
        <x:v>CURATED-MA-AMD-XILINX-2020</x:v>
      </x:c>
      <x:c r="B85" s="44" t="n">
        <x:v>44131</x:v>
      </x:c>
      <x:c r="C85" s="42" t="str">
        <x:v>M&amp;A</x:v>
      </x:c>
      <x:c r="D85" s="42" t="str">
        <x:v>deal</x:v>
      </x:c>
      <x:c r="E85" s="42" t="str">
        <x:v>Closed</x:v>
      </x:c>
      <x:c r="F85" s="42" t="str">
        <x:v>Xilinx</x:v>
      </x:c>
      <x:c r="G85" s="42" t="str">
        <x:v>AMD</x:v>
      </x:c>
      <x:c r="H85" s="42" t="str">
        <x:v>Public shareholders</x:v>
      </x:c>
      <x:c r="I85" s="42" t="str">
        <x:v>Technology</x:v>
      </x:c>
      <x:c r="J85" s="42" t="str">
        <x:v>United States</x:v>
      </x:c>
      <x:c r="K85" s="45" t="n">
        <x:v>35000000000</x:v>
      </x:c>
      <x:c r="L85" s="45"/>
      <x:c r="M85" s="42" t="str">
        <x:v>USD</x:v>
      </x:c>
      <x:c r="N85" s="46" t="n">
        <x:v>1</x:v>
      </x:c>
      <x:c r="O85" s="42" t="str">
        <x:v>Shares</x:v>
      </x:c>
      <x:c r="P85" s="42" t="str">
        <x:v>Not disclosed</x:v>
      </x:c>
      <x:c r="Q85" s="42"/>
      <x:c r="R85" s="42" t="str">
        <x:v>Not applicable</x:v>
      </x:c>
      <x:c r="S85" s="42" t="str">
        <x:v>Not applicable</x:v>
      </x:c>
      <x:c r="T85" s="46"/>
      <x:c r="U85" s="42" t="str">
        <x:v>Not applicable</x:v>
      </x:c>
      <x:c r="V85" s="46"/>
      <x:c r="W85" s="44"/>
      <x:c r="X85" s="42" t="str">
        <x:v>Not applicable</x:v>
      </x:c>
      <x:c r="Y85" s="42"/>
      <x:c r="Z85" s="42"/>
      <x:c r="AA85" s="46"/>
      <x:c r="AB85" s="42" t="str">
        <x:v>Not applicable</x:v>
      </x:c>
      <x:c r="AC85" s="46"/>
      <x:c r="AD85" s="42" t="str">
        <x:v>Create a scaled high-performance and adaptive computing company</x:v>
      </x:c>
      <x:c r="AE85" s="45" t="n">
        <x:v>3162666000</x:v>
      </x:c>
      <x:c r="AF85" s="45"/>
      <x:c r="AG85" s="44" t="n">
        <x:v>43918</x:v>
      </x:c>
      <x:c r="AH85" s="42" t="str">
        <x:v>USD</x:v>
      </x:c>
      <x:c r="AI85" s="47"/>
      <x:c r="AJ85" s="47"/>
      <x:c r="AK85" s="42" t="str">
        <x:v>Xilinx FY2020 Form 10-K</x:v>
      </x:c>
      <x:c r="AL85" s="42" t="str">
        <x:v>Audited GAAP revenue; transaction EV was not separately disclosed</x:v>
      </x:c>
      <x:c r="AM85" s="42" t="str">
        <x:v>Calculated from disclosed EV and latest audited financials available at announcement</x:v>
      </x:c>
      <x:c r="AN85" s="42" t="str">
        <x:v>approved</x:v>
      </x:c>
      <x:c r="AO85" s="42" t="n">
        <x:v>100</x:v>
      </x:c>
      <x:c r="AP85" s="42" t="str">
        <x:v>confirmed</x:v>
      </x:c>
      <x:c r="AQ85" s="42" t="n">
        <x:v>2</x:v>
      </x:c>
      <x:c r="AR85" s="42" t="str">
        <x:v>AMD transaction announcement</x:v>
      </x:c>
      <x:c r="AS85" s="42" t="str">
        <x:v>https://ir.amd.com/news-events/press-releases/detail/977/amd-to-acquire-xilinx-creating-the-industrys-high-performance-computing-leader</x:v>
      </x:c>
      <x:c r="AT85" s="42" t="str">
        <x:v>AMD acquired Xilinx in an all-stock transaction</x:v>
      </x:c>
    </x:row>
    <x:row r="86">
      <x:c r="A86" s="42" t="str">
        <x:v>CURATED-MA-SALESFORCE-TABLEAU-2019</x:v>
      </x:c>
      <x:c r="B86" s="44" t="n">
        <x:v>43626</x:v>
      </x:c>
      <x:c r="C86" s="42" t="str">
        <x:v>M&amp;A</x:v>
      </x:c>
      <x:c r="D86" s="42" t="str">
        <x:v>deal</x:v>
      </x:c>
      <x:c r="E86" s="42" t="str">
        <x:v>Closed</x:v>
      </x:c>
      <x:c r="F86" s="42" t="str">
        <x:v>Tableau Software</x:v>
      </x:c>
      <x:c r="G86" s="42" t="str">
        <x:v>Salesforce</x:v>
      </x:c>
      <x:c r="H86" s="42" t="str">
        <x:v>Public shareholders</x:v>
      </x:c>
      <x:c r="I86" s="42" t="str">
        <x:v>Technology</x:v>
      </x:c>
      <x:c r="J86" s="42" t="str">
        <x:v>United States</x:v>
      </x:c>
      <x:c r="K86" s="45" t="n">
        <x:v>15700000000</x:v>
      </x:c>
      <x:c r="L86" s="45" t="n">
        <x:v>15700000000</x:v>
      </x:c>
      <x:c r="M86" s="42" t="str">
        <x:v>USD</x:v>
      </x:c>
      <x:c r="N86" s="46" t="n">
        <x:v>1</x:v>
      </x:c>
      <x:c r="O86" s="42" t="str">
        <x:v>Shares</x:v>
      </x:c>
      <x:c r="P86" s="42" t="str">
        <x:v>Not disclosed</x:v>
      </x:c>
      <x:c r="Q86" s="42"/>
      <x:c r="R86" s="42" t="str">
        <x:v>Not applicable</x:v>
      </x:c>
      <x:c r="S86" s="42" t="str">
        <x:v>Not applicable</x:v>
      </x:c>
      <x:c r="T86" s="46"/>
      <x:c r="U86" s="42" t="str">
        <x:v>Not applicable</x:v>
      </x:c>
      <x:c r="V86" s="46"/>
      <x:c r="W86" s="44"/>
      <x:c r="X86" s="42" t="str">
        <x:v>Not applicable</x:v>
      </x:c>
      <x:c r="Y86" s="42"/>
      <x:c r="Z86" s="42"/>
      <x:c r="AA86" s="46"/>
      <x:c r="AB86" s="42" t="str">
        <x:v>Not applicable</x:v>
      </x:c>
      <x:c r="AC86" s="46"/>
      <x:c r="AD86" s="42" t="str">
        <x:v>Combine CRM and analytics platforms to accelerate digital transformation</x:v>
      </x:c>
      <x:c r="AE86" s="45" t="n">
        <x:v>1159000000</x:v>
      </x:c>
      <x:c r="AF86" s="45"/>
      <x:c r="AG86" s="44" t="n">
        <x:v>43465</x:v>
      </x:c>
      <x:c r="AH86" s="42" t="str">
        <x:v>USD</x:v>
      </x:c>
      <x:c r="AI86" s="47" t="n">
        <x:v>13.546160483175152</x:v>
      </x:c>
      <x:c r="AJ86" s="47"/>
      <x:c r="AK86" s="42" t="str">
        <x:v>Tableau FY2018 Form 10-K</x:v>
      </x:c>
      <x:c r="AL86" s="42" t="str">
        <x:v>Audited GAAP revenue rounded to the nearest USD million; EBITDA not calculated without separately sourced D&amp;A</x:v>
      </x:c>
      <x:c r="AM86" s="42" t="str">
        <x:v>Calculated from disclosed EV and latest audited financials available at announcement</x:v>
      </x:c>
      <x:c r="AN86" s="42" t="str">
        <x:v>approved</x:v>
      </x:c>
      <x:c r="AO86" s="42" t="n">
        <x:v>100</x:v>
      </x:c>
      <x:c r="AP86" s="42" t="str">
        <x:v>confirmed</x:v>
      </x:c>
      <x:c r="AQ86" s="42" t="n">
        <x:v>2</x:v>
      </x:c>
      <x:c r="AR86" s="42" t="str">
        <x:v>Salesforce transaction announcement</x:v>
      </x:c>
      <x:c r="AS86" s="42" t="str">
        <x:v>https://www.salesforce.com/news/press-releases/2019/06/10/salesforce-signs-definitive-agreement-to-acquire-tableau/</x:v>
      </x:c>
      <x:c r="AT86" s="42" t="str">
        <x:v>Salesforce acquired Tableau Software in an all-stock transaction</x:v>
      </x:c>
    </x:row>
    <x:row r="87">
      <x:c r="A87" s="42" t="str">
        <x:v>CURATED-MA-IBM-RED-HAT-2018</x:v>
      </x:c>
      <x:c r="B87" s="44" t="n">
        <x:v>43401</x:v>
      </x:c>
      <x:c r="C87" s="42" t="str">
        <x:v>M&amp;A</x:v>
      </x:c>
      <x:c r="D87" s="42" t="str">
        <x:v>deal</x:v>
      </x:c>
      <x:c r="E87" s="42" t="str">
        <x:v>Closed</x:v>
      </x:c>
      <x:c r="F87" s="42" t="str">
        <x:v>Red Hat</x:v>
      </x:c>
      <x:c r="G87" s="42" t="str">
        <x:v>IBM</x:v>
      </x:c>
      <x:c r="H87" s="42" t="str">
        <x:v>Public shareholders</x:v>
      </x:c>
      <x:c r="I87" s="42" t="str">
        <x:v>Technology</x:v>
      </x:c>
      <x:c r="J87" s="42" t="str">
        <x:v>United States</x:v>
      </x:c>
      <x:c r="K87" s="45" t="n">
        <x:v>34000000000</x:v>
      </x:c>
      <x:c r="L87" s="45" t="n">
        <x:v>34000000000</x:v>
      </x:c>
      <x:c r="M87" s="42" t="str">
        <x:v>USD</x:v>
      </x:c>
      <x:c r="N87" s="46" t="n">
        <x:v>1</x:v>
      </x:c>
      <x:c r="O87" s="42" t="str">
        <x:v>Cash</x:v>
      </x:c>
      <x:c r="P87" s="42" t="str">
        <x:v>Not disclosed</x:v>
      </x:c>
      <x:c r="Q87" s="42"/>
      <x:c r="R87" s="42" t="str">
        <x:v>Not applicable</x:v>
      </x:c>
      <x:c r="S87" s="42" t="str">
        <x:v>Not applicable</x:v>
      </x:c>
      <x:c r="T87" s="46"/>
      <x:c r="U87" s="42" t="str">
        <x:v>Not applicable</x:v>
      </x:c>
      <x:c r="V87" s="46"/>
      <x:c r="W87" s="44"/>
      <x:c r="X87" s="42" t="str">
        <x:v>Not applicable</x:v>
      </x:c>
      <x:c r="Y87" s="42"/>
      <x:c r="Z87" s="42"/>
      <x:c r="AA87" s="46"/>
      <x:c r="AB87" s="42" t="str">
        <x:v>Not applicable</x:v>
      </x:c>
      <x:c r="AC87" s="46"/>
      <x:c r="AD87" s="42" t="str">
        <x:v>Build a leading hybrid cloud platform using open-source technology</x:v>
      </x:c>
      <x:c r="AE87" s="45" t="n">
        <x:v>2920461000</x:v>
      </x:c>
      <x:c r="AF87" s="45"/>
      <x:c r="AG87" s="44" t="n">
        <x:v>43159</x:v>
      </x:c>
      <x:c r="AH87" s="42" t="str">
        <x:v>USD</x:v>
      </x:c>
      <x:c r="AI87" s="47" t="n">
        <x:v>11.641997616129782</x:v>
      </x:c>
      <x:c r="AJ87" s="47"/>
      <x:c r="AK87" s="42" t="str">
        <x:v>Red Hat FY2018 Form 10-K</x:v>
      </x:c>
      <x:c r="AL87" s="42" t="str">
        <x:v>Audited GAAP revenue and operating income; EBITDA not calculated without separately sourced D&amp;A</x:v>
      </x:c>
      <x:c r="AM87" s="42" t="str">
        <x:v>Calculated from disclosed EV and latest audited financials available at announcement</x:v>
      </x:c>
      <x:c r="AN87" s="42" t="str">
        <x:v>approved</x:v>
      </x:c>
      <x:c r="AO87" s="42" t="n">
        <x:v>100</x:v>
      </x:c>
      <x:c r="AP87" s="42" t="str">
        <x:v>confirmed</x:v>
      </x:c>
      <x:c r="AQ87" s="42" t="n">
        <x:v>2</x:v>
      </x:c>
      <x:c r="AR87" s="42" t="str">
        <x:v>IBM transaction announcement</x:v>
      </x:c>
      <x:c r="AS87" s="42" t="str">
        <x:v>https://uk.newsroom.ibm.com/2018-10-28-IBM-To-Acquire-Red-Hat-Completely-Changing-The-Cloud-Landscape-And-Becoming-Worlds-1-Hybrid-Cloud-Provider</x:v>
      </x:c>
      <x:c r="AT87" s="42" t="str">
        <x:v>IBM acquired Red Hat in an all-cash transaction</x:v>
      </x:c>
    </x:row>
    <x:row r="88">
      <x:c r="A88" s="42" t="str">
        <x:v>CURATED-MA-MICROSOFT-LINKEDIN-2016</x:v>
      </x:c>
      <x:c r="B88" s="44" t="n">
        <x:v>42534</x:v>
      </x:c>
      <x:c r="C88" s="42" t="str">
        <x:v>M&amp;A</x:v>
      </x:c>
      <x:c r="D88" s="42" t="str">
        <x:v>deal</x:v>
      </x:c>
      <x:c r="E88" s="42" t="str">
        <x:v>Closed</x:v>
      </x:c>
      <x:c r="F88" s="42" t="str">
        <x:v>LinkedIn</x:v>
      </x:c>
      <x:c r="G88" s="42" t="str">
        <x:v>Microsoft</x:v>
      </x:c>
      <x:c r="H88" s="42" t="str">
        <x:v>Public shareholders</x:v>
      </x:c>
      <x:c r="I88" s="42" t="str">
        <x:v>Technology</x:v>
      </x:c>
      <x:c r="J88" s="42" t="str">
        <x:v>United States</x:v>
      </x:c>
      <x:c r="K88" s="45" t="n">
        <x:v>26200000000</x:v>
      </x:c>
      <x:c r="L88" s="45" t="n">
        <x:v>26200000000</x:v>
      </x:c>
      <x:c r="M88" s="42" t="str">
        <x:v>USD</x:v>
      </x:c>
      <x:c r="N88" s="46" t="n">
        <x:v>1</x:v>
      </x:c>
      <x:c r="O88" s="42" t="str">
        <x:v>Cash</x:v>
      </x:c>
      <x:c r="P88" s="42" t="str">
        <x:v>Not disclosed</x:v>
      </x:c>
      <x:c r="Q88" s="42"/>
      <x:c r="R88" s="42" t="str">
        <x:v>Not applicable</x:v>
      </x:c>
      <x:c r="S88" s="42" t="str">
        <x:v>Not applicable</x:v>
      </x:c>
      <x:c r="T88" s="46"/>
      <x:c r="U88" s="42" t="str">
        <x:v>Not applicable</x:v>
      </x:c>
      <x:c r="V88" s="46"/>
      <x:c r="W88" s="44"/>
      <x:c r="X88" s="42" t="str">
        <x:v>Not applicable</x:v>
      </x:c>
      <x:c r="Y88" s="42"/>
      <x:c r="Z88" s="42"/>
      <x:c r="AA88" s="46"/>
      <x:c r="AB88" s="42" t="str">
        <x:v>Not applicable</x:v>
      </x:c>
      <x:c r="AC88" s="46"/>
      <x:c r="AD88" s="42" t="str">
        <x:v>Combine the professional cloud with the professional network</x:v>
      </x:c>
      <x:c r="AE88" s="45" t="n">
        <x:v>2990911000</x:v>
      </x:c>
      <x:c r="AF88" s="45" t="n">
        <x:v>254472000</x:v>
      </x:c>
      <x:c r="AG88" s="44" t="n">
        <x:v>42369</x:v>
      </x:c>
      <x:c r="AH88" s="42" t="str">
        <x:v>USD</x:v>
      </x:c>
      <x:c r="AI88" s="47" t="n">
        <x:v>8.7598728280447</x:v>
      </x:c>
      <x:c r="AJ88" s="47" t="n">
        <x:v>102.95828224716276</x:v>
      </x:c>
      <x:c r="AK88" s="42" t="str">
        <x:v>LinkedIn FY2015 Form 10-K</x:v>
      </x:c>
      <x:c r="AL88" s="42" t="str">
        <x:v>GAAP EBITDA proxy calculated as operating loss plus reported depreciation and amortization</x:v>
      </x:c>
      <x:c r="AM88" s="42" t="str">
        <x:v>Calculated from disclosed EV and latest audited financials available at announcement</x:v>
      </x:c>
      <x:c r="AN88" s="42" t="str">
        <x:v>approved</x:v>
      </x:c>
      <x:c r="AO88" s="42" t="n">
        <x:v>100</x:v>
      </x:c>
      <x:c r="AP88" s="42" t="str">
        <x:v>confirmed</x:v>
      </x:c>
      <x:c r="AQ88" s="42" t="n">
        <x:v>2</x:v>
      </x:c>
      <x:c r="AR88" s="42" t="str">
        <x:v>Microsoft transaction announcement</x:v>
      </x:c>
      <x:c r="AS88" s="42" t="str">
        <x:v>https://news.microsoft.com/source/2016/06/13/microsoft-to-acquire-linkedin/</x:v>
      </x:c>
      <x:c r="AT88" s="42" t="str">
        <x:v>Microsoft acquired LinkedIn in an all-cash transaction</x:v>
      </x:c>
    </x:row>
  </x:sheetData>
  <x:mergeCells>
    <x:mergeCell ref="A1:AT1"/>
    <x:mergeCell ref="A2:AT2"/>
    <x:mergeCell ref="A4:AT4"/>
  </x:mergeCells>
  <x:pageMargins left="0.7" right="0.7" top="0.75" bottom="0.75" header="0.3" footer="0.3"/>
  <x:tableParts count="1">
    <x:tablePart xmlns:r="http://schemas.openxmlformats.org/officeDocument/2006/relationships" r:id="R5ddde3ee5aef4ce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52" hidden="0" customWidth="1"/>
    <x:col min="13" max="13" width="30" hidden="0" customWidth="1"/>
    <x:col min="14" max="14" width="48" hidden="0" customWidth="1"/>
  </x:cols>
  <x:sheetData>
    <x:row r="1" ht="34" customHeight="1">
      <x:c r="A1" s="3" t="str">
        <x:v>FINANCIALS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6" t="str">
        <x:v>One row per transaction financial dataset; dates distinguish the metric period from public availability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6" ht="34" customHeight="1">
      <x:c r="A6" s="17" t="str">
        <x:v>Deal ID</x:v>
      </x:c>
      <x:c r="B6" s="18" t="str">
        <x:v>Target</x:v>
      </x:c>
      <x:c r="C6" s="18" t="str">
        <x:v>Deal Date</x:v>
      </x:c>
      <x:c r="D6" s="18" t="str">
        <x:v>Financials As Of</x:v>
      </x:c>
      <x:c r="E6" s="18" t="str">
        <x:v>Available At</x:v>
      </x:c>
      <x:c r="F6" s="18" t="str">
        <x:v>Currency</x:v>
      </x:c>
      <x:c r="G6" s="18" t="str">
        <x:v>Revenue LTM</x:v>
      </x:c>
      <x:c r="H6" s="18" t="str">
        <x:v>Operating Income</x:v>
      </x:c>
      <x:c r="I6" s="18" t="str">
        <x:v>Depreciation</x:v>
      </x:c>
      <x:c r="J6" s="18" t="str">
        <x:v>Amortization</x:v>
      </x:c>
      <x:c r="K6" s="18" t="str">
        <x:v>EBITDA LTM</x:v>
      </x:c>
      <x:c r="L6" s="18" t="str">
        <x:v>Metric Basis</x:v>
      </x:c>
      <x:c r="M6" s="18" t="str">
        <x:v>Source</x:v>
      </x:c>
      <x:c r="N6" s="19" t="str">
        <x:v>Source URL</x:v>
      </x:c>
    </x:row>
    <x:row r="7" ht="48" customHeight="1">
      <x:c r="A7" s="42" t="str">
        <x:v>CURATED-MA-CISCO-SPLUNK-2023</x:v>
      </x:c>
      <x:c r="B7" s="42" t="str">
        <x:v>Splunk</x:v>
      </x:c>
      <x:c r="C7" s="44" t="n">
        <x:v>45190</x:v>
      </x:c>
      <x:c r="D7" s="44" t="n">
        <x:v>44957</x:v>
      </x:c>
      <x:c r="E7" s="44" t="n">
        <x:v>45008</x:v>
      </x:c>
      <x:c r="F7" s="42" t="str">
        <x:v>USD</x:v>
      </x:c>
      <x:c r="G7" s="45" t="n">
        <x:v>3653708000</x:v>
      </x:c>
      <x:c r="H7" s="45"/>
      <x:c r="I7" s="45"/>
      <x:c r="J7" s="45"/>
      <x:c r="K7" s="45"/>
      <x:c r="L7" s="49" t="str">
        <x:v>Audited GAAP revenue; EBITDA not calculated because the transaction announcement disclosed equity value rather than EV</x:v>
      </x:c>
      <x:c r="M7" s="49" t="str">
        <x:v>Splunk FY2023 Form 10-K</x:v>
      </x:c>
      <x:c r="N7" s="49" t="str">
        <x:v>https://www.sec.gov/Archives/edgar/data/1353283/000135328323000011/splk-20230131.htm</x:v>
      </x:c>
    </x:row>
    <x:row r="8" ht="48" customHeight="1">
      <x:c r="A8" s="42" t="str">
        <x:v>CURATED-MA-BROADCOM-VMWARE-2022</x:v>
      </x:c>
      <x:c r="B8" s="42" t="str">
        <x:v>VMware</x:v>
      </x:c>
      <x:c r="C8" s="44" t="n">
        <x:v>44707</x:v>
      </x:c>
      <x:c r="D8" s="44" t="n">
        <x:v>44589</x:v>
      </x:c>
      <x:c r="E8" s="44" t="n">
        <x:v>44644</x:v>
      </x:c>
      <x:c r="F8" s="42" t="str">
        <x:v>USD</x:v>
      </x:c>
      <x:c r="G8" s="45" t="n">
        <x:v>12851000000</x:v>
      </x:c>
      <x:c r="H8" s="45" t="n">
        <x:v>2387000000</x:v>
      </x:c>
      <x:c r="I8" s="45" t="n">
        <x:v>276000000</x:v>
      </x:c>
      <x:c r="J8" s="45" t="n">
        <x:v>303000000</x:v>
      </x:c>
      <x:c r="K8" s="45" t="n">
        <x:v>2966000000</x:v>
      </x:c>
      <x:c r="L8" s="49" t="str">
        <x:v>GAAP EBITDA calculated as operating income plus depreciation and definite-lived intangible amortization</x:v>
      </x:c>
      <x:c r="M8" s="49" t="str">
        <x:v>VMware FY2022 Form 10-K</x:v>
      </x:c>
      <x:c r="N8" s="49" t="str">
        <x:v>https://www.sec.gov/Archives/edgar/data/1124610/000112461022000009/vmw-20220128.htm</x:v>
      </x:c>
    </x:row>
    <x:row r="9" ht="48" customHeight="1">
      <x:c r="A9" s="42" t="str">
        <x:v>CURATED-MA-THOMA-BRAVO-ANAPLAN-2022</x:v>
      </x:c>
      <x:c r="B9" s="42" t="str">
        <x:v>Anaplan</x:v>
      </x:c>
      <x:c r="C9" s="44" t="n">
        <x:v>44640</x:v>
      </x:c>
      <x:c r="D9" s="44" t="n">
        <x:v>44592</x:v>
      </x:c>
      <x:c r="E9" s="44" t="n">
        <x:v>44643</x:v>
      </x:c>
      <x:c r="F9" s="42" t="str">
        <x:v>USD</x:v>
      </x:c>
      <x:c r="G9" s="45" t="n">
        <x:v>592200000</x:v>
      </x:c>
      <x:c r="H9" s="45"/>
      <x:c r="I9" s="45"/>
      <x:c r="J9" s="45"/>
      <x:c r="K9" s="45"/>
      <x:c r="L9" s="49" t="str">
        <x:v>Audited GAAP revenue; filed after announcement and transaction EV was not separately disclosed</x:v>
      </x:c>
      <x:c r="M9" s="49" t="str">
        <x:v>Anaplan FY2022 Form 10-K</x:v>
      </x:c>
      <x:c r="N9" s="49" t="str">
        <x:v>https://www.sec.gov/Archives/edgar/data/1540755/000154075522000018/plan-20220131.htm</x:v>
      </x:c>
    </x:row>
    <x:row r="10" ht="48" customHeight="1">
      <x:c r="A10" s="42" t="str">
        <x:v>CURATED-MA-VISTA-CITRIX-2022</x:v>
      </x:c>
      <x:c r="B10" s="42" t="str">
        <x:v>Citrix Systems</x:v>
      </x:c>
      <x:c r="C10" s="44" t="n">
        <x:v>44592</x:v>
      </x:c>
      <x:c r="D10" s="44" t="n">
        <x:v>44561</x:v>
      </x:c>
      <x:c r="E10" s="44" t="n">
        <x:v>44608</x:v>
      </x:c>
      <x:c r="F10" s="42" t="str">
        <x:v>USD</x:v>
      </x:c>
      <x:c r="G10" s="45" t="n">
        <x:v>3217170000</x:v>
      </x:c>
      <x:c r="H10" s="45"/>
      <x:c r="I10" s="45"/>
      <x:c r="J10" s="45"/>
      <x:c r="K10" s="45"/>
      <x:c r="L10" s="49" t="str">
        <x:v>Audited GAAP revenue; filed after announcement and therefore excluded from headline medians</x:v>
      </x:c>
      <x:c r="M10" s="49" t="str">
        <x:v>Citrix FY2021 Form 10-K</x:v>
      </x:c>
      <x:c r="N10" s="49" t="str">
        <x:v>https://www.sec.gov/Archives/edgar/data/877890/000087789022000019/ctxs-20211231.htm</x:v>
      </x:c>
    </x:row>
    <x:row r="11" ht="48" customHeight="1">
      <x:c r="A11" s="42" t="str">
        <x:v>CURATED-MA-MICROSOFT-ACTIVISION-2022</x:v>
      </x:c>
      <x:c r="B11" s="42" t="str">
        <x:v>Activision Blizzard</x:v>
      </x:c>
      <x:c r="C11" s="44" t="n">
        <x:v>44579</x:v>
      </x:c>
      <x:c r="D11" s="44" t="n">
        <x:v>44196</x:v>
      </x:c>
      <x:c r="E11" s="44" t="n">
        <x:v>44250</x:v>
      </x:c>
      <x:c r="F11" s="42" t="str">
        <x:v>USD</x:v>
      </x:c>
      <x:c r="G11" s="45" t="n">
        <x:v>8086000000</x:v>
      </x:c>
      <x:c r="H11" s="45" t="n">
        <x:v>2734000000</x:v>
      </x:c>
      <x:c r="I11" s="45"/>
      <x:c r="J11" s="45"/>
      <x:c r="K11" s="45"/>
      <x:c r="L11" s="49" t="str">
        <x:v>Audited GAAP revenue and operating income; EBITDA intentionally not calculated without separately sourced D&amp;A</x:v>
      </x:c>
      <x:c r="M11" s="49" t="str">
        <x:v>Activision Blizzard FY2020 Form 10-K</x:v>
      </x:c>
      <x:c r="N11" s="49" t="str">
        <x:v>https://www.sec.gov/Archives/edgar/data/718877/000162828021002828/atvi-20201231.htm</x:v>
      </x:c>
    </x:row>
    <x:row r="12" ht="48" customHeight="1">
      <x:c r="A12" s="42" t="str">
        <x:v>CURATED-MA-SALESFORCE-SLACK-2020</x:v>
      </x:c>
      <x:c r="B12" s="42" t="str">
        <x:v>Slack Technologies</x:v>
      </x:c>
      <x:c r="C12" s="44" t="n">
        <x:v>44166</x:v>
      </x:c>
      <x:c r="D12" s="44" t="n">
        <x:v>43861</x:v>
      </x:c>
      <x:c r="E12" s="44" t="n">
        <x:v>43902</x:v>
      </x:c>
      <x:c r="F12" s="42" t="str">
        <x:v>USD</x:v>
      </x:c>
      <x:c r="G12" s="45" t="n">
        <x:v>630422000</x:v>
      </x:c>
      <x:c r="H12" s="45"/>
      <x:c r="I12" s="45"/>
      <x:c r="J12" s="45"/>
      <x:c r="K12" s="45"/>
      <x:c r="L12" s="49" t="str">
        <x:v>Audited GAAP revenue; negative operating result, so EV/EBITDA is N/M</x:v>
      </x:c>
      <x:c r="M12" s="49" t="str">
        <x:v>Slack FY2020 Form 10-K</x:v>
      </x:c>
      <x:c r="N12" s="49" t="str">
        <x:v>https://www.sec.gov/Archives/edgar/data/1764925/000176492520000251/a1312010-k.htm</x:v>
      </x:c>
    </x:row>
    <x:row r="13" ht="48" customHeight="1">
      <x:c r="A13" s="42" t="str">
        <x:v>CURATED-MA-AMD-XILINX-2020</x:v>
      </x:c>
      <x:c r="B13" s="42" t="str">
        <x:v>Xilinx</x:v>
      </x:c>
      <x:c r="C13" s="44" t="n">
        <x:v>44131</x:v>
      </x:c>
      <x:c r="D13" s="44" t="n">
        <x:v>43918</x:v>
      </x:c>
      <x:c r="E13" s="44" t="n">
        <x:v>43966</x:v>
      </x:c>
      <x:c r="F13" s="42" t="str">
        <x:v>USD</x:v>
      </x:c>
      <x:c r="G13" s="45" t="n">
        <x:v>3162666000</x:v>
      </x:c>
      <x:c r="H13" s="45"/>
      <x:c r="I13" s="45"/>
      <x:c r="J13" s="45"/>
      <x:c r="K13" s="45"/>
      <x:c r="L13" s="49" t="str">
        <x:v>Audited GAAP revenue; transaction EV was not separately disclosed</x:v>
      </x:c>
      <x:c r="M13" s="49" t="str">
        <x:v>Xilinx FY2020 Form 10-K</x:v>
      </x:c>
      <x:c r="N13" s="49" t="str">
        <x:v>https://www.sec.gov/Archives/edgar/data/743988/000074398820000020/xlnx328202010k.htm</x:v>
      </x:c>
    </x:row>
    <x:row r="14" ht="48" customHeight="1">
      <x:c r="A14" s="42" t="str">
        <x:v>CURATED-MA-SALESFORCE-TABLEAU-2019</x:v>
      </x:c>
      <x:c r="B14" s="42" t="str">
        <x:v>Tableau Software</x:v>
      </x:c>
      <x:c r="C14" s="44" t="n">
        <x:v>43626</x:v>
      </x:c>
      <x:c r="D14" s="44" t="n">
        <x:v>43465</x:v>
      </x:c>
      <x:c r="E14" s="44" t="n">
        <x:v>43518</x:v>
      </x:c>
      <x:c r="F14" s="42" t="str">
        <x:v>USD</x:v>
      </x:c>
      <x:c r="G14" s="45" t="n">
        <x:v>1159000000</x:v>
      </x:c>
      <x:c r="H14" s="45"/>
      <x:c r="I14" s="45"/>
      <x:c r="J14" s="45"/>
      <x:c r="K14" s="45"/>
      <x:c r="L14" s="49" t="str">
        <x:v>Audited GAAP revenue rounded to the nearest USD million; EBITDA not calculated without separately sourced D&amp;A</x:v>
      </x:c>
      <x:c r="M14" s="49" t="str">
        <x:v>Tableau FY2018 Form 10-K</x:v>
      </x:c>
      <x:c r="N14" s="49" t="str">
        <x:v>https://www.sec.gov/Archives/edgar/data/1303652/000130365219000007/a10k2018.htm</x:v>
      </x:c>
    </x:row>
    <x:row r="15" ht="48" customHeight="1">
      <x:c r="A15" s="42" t="str">
        <x:v>CURATED-MA-IBM-RED-HAT-2018</x:v>
      </x:c>
      <x:c r="B15" s="42" t="str">
        <x:v>Red Hat</x:v>
      </x:c>
      <x:c r="C15" s="44" t="n">
        <x:v>43401</x:v>
      </x:c>
      <x:c r="D15" s="44" t="n">
        <x:v>43159</x:v>
      </x:c>
      <x:c r="E15" s="44" t="n">
        <x:v>43215</x:v>
      </x:c>
      <x:c r="F15" s="42" t="str">
        <x:v>USD</x:v>
      </x:c>
      <x:c r="G15" s="45" t="n">
        <x:v>2920461000</x:v>
      </x:c>
      <x:c r="H15" s="45" t="n">
        <x:v>472442000</x:v>
      </x:c>
      <x:c r="I15" s="45"/>
      <x:c r="J15" s="45"/>
      <x:c r="K15" s="45"/>
      <x:c r="L15" s="49" t="str">
        <x:v>Audited GAAP revenue and operating income; EBITDA not calculated without separately sourced D&amp;A</x:v>
      </x:c>
      <x:c r="M15" s="49" t="str">
        <x:v>Red Hat FY2018 Form 10-K</x:v>
      </x:c>
      <x:c r="N15" s="49" t="str">
        <x:v>https://www.sec.gov/Archives/edgar/data/1087423/000108742318000010/rht-10kq4fy18.htm</x:v>
      </x:c>
    </x:row>
    <x:row r="16" ht="48" customHeight="1">
      <x:c r="A16" s="42" t="str">
        <x:v>CURATED-MA-MICROSOFT-LINKEDIN-2016</x:v>
      </x:c>
      <x:c r="B16" s="42" t="str">
        <x:v>LinkedIn</x:v>
      </x:c>
      <x:c r="C16" s="44" t="n">
        <x:v>42534</x:v>
      </x:c>
      <x:c r="D16" s="44" t="n">
        <x:v>42369</x:v>
      </x:c>
      <x:c r="E16" s="44" t="n">
        <x:v>42412</x:v>
      </x:c>
      <x:c r="F16" s="42" t="str">
        <x:v>USD</x:v>
      </x:c>
      <x:c r="G16" s="45" t="n">
        <x:v>2990911000</x:v>
      </x:c>
      <x:c r="H16" s="45"/>
      <x:c r="I16" s="45"/>
      <x:c r="J16" s="45" t="n">
        <x:v>420472000</x:v>
      </x:c>
      <x:c r="K16" s="45" t="n">
        <x:v>254472000</x:v>
      </x:c>
      <x:c r="L16" s="49" t="str">
        <x:v>GAAP EBITDA proxy calculated as operating loss plus reported depreciation and amortization</x:v>
      </x:c>
      <x:c r="M16" s="49" t="str">
        <x:v>LinkedIn FY2015 Form 10-K</x:v>
      </x:c>
      <x:c r="N16" s="49" t="str">
        <x:v>https://www.sec.gov/Archives/edgar/data/1271024/000127102416000035/a20151231-10xkdocument.htm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8ef9db32543f4cc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20" hidden="0" customWidth="1"/>
    <x:col min="5" max="5" width="12" hidden="0" customWidth="1"/>
    <x:col min="6" max="6" width="18" hidden="0" customWidth="1"/>
    <x:col min="7" max="7" width="18" hidden="0" customWidth="1"/>
    <x:col min="8" max="8" width="14" hidden="0" customWidth="1"/>
    <x:col min="9" max="9" width="12" hidden="0" customWidth="1"/>
    <x:col min="10" max="10" width="20" hidden="0" customWidth="1"/>
    <x:col min="11" max="11" width="14" hidden="0" customWidth="1"/>
    <x:col min="12" max="12" width="14" hidden="0" customWidth="1"/>
    <x:col min="13" max="13" width="13" hidden="0" customWidth="1"/>
    <x:col min="14" max="14" width="32" hidden="0" customWidth="1"/>
    <x:col min="15" max="15" width="55" hidden="0" customWidth="1"/>
  </x:cols>
  <x:sheetData>
    <x:row r="1" ht="34" customHeight="1">
      <x:c r="A1" s="3" t="str">
        <x:v>MULTIPLES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6" t="str">
        <x:v>Only approved M&amp;A with contemporaneously available financials enters the model median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6" ht="34" customHeight="1">
      <x:c r="A6" s="17" t="str">
        <x:v>Deal ID</x:v>
      </x:c>
      <x:c r="B6" s="18" t="str">
        <x:v>Date</x:v>
      </x:c>
      <x:c r="C6" s="18" t="str">
        <x:v>Target</x:v>
      </x:c>
      <x:c r="D6" s="18" t="str">
        <x:v>Enterprise Value</x:v>
      </x:c>
      <x:c r="E6" s="18" t="str">
        <x:v>EV Currency</x:v>
      </x:c>
      <x:c r="F6" s="18" t="str">
        <x:v>Revenue LTM</x:v>
      </x:c>
      <x:c r="G6" s="18" t="str">
        <x:v>EBITDA LTM</x:v>
      </x:c>
      <x:c r="H6" s="18" t="str">
        <x:v>Financials Currency</x:v>
      </x:c>
      <x:c r="I6" s="18" t="str">
        <x:v>Quality</x:v>
      </x:c>
      <x:c r="J6" s="18" t="str">
        <x:v>Available at announcement</x:v>
      </x:c>
      <x:c r="K6" s="18" t="str">
        <x:v>EV / Revenue</x:v>
      </x:c>
      <x:c r="L6" s="18" t="str">
        <x:v>EV / EBITDA</x:v>
      </x:c>
      <x:c r="M6" s="18" t="str">
        <x:v>Model Eligible</x:v>
      </x:c>
      <x:c r="N6" s="18" t="str">
        <x:v>Financial Source</x:v>
      </x:c>
      <x:c r="O6" s="19" t="str">
        <x:v>Notes</x:v>
      </x:c>
    </x:row>
    <x:row r="7">
      <x:c r="A7" s="42" t="str">
        <x:v>DL-fbdcfe31695d48a2</x:v>
      </x:c>
      <x:c r="B7" s="44" t="n">
        <x:v>46204</x:v>
      </x:c>
      <x:c r="C7" s="42" t="str">
        <x:v>Not disclosed</x:v>
      </x:c>
      <x:c r="D7" s="45"/>
      <x:c r="E7" s="42" t="str">
        <x:v>RUB</x:v>
      </x:c>
      <x:c r="F7" s="45"/>
      <x:c r="G7" s="45"/>
      <x:c r="H7" s="42" t="str">
        <x:v>Not disclosed</x:v>
      </x:c>
      <x:c r="I7" s="42" t="str">
        <x:v>rejected</x:v>
      </x:c>
      <x:c r="J7" s="42" t="str">
        <x:v>NO</x:v>
      </x:c>
      <x:c r="K7" s="47" t="str">
        <x:f>IFERROR(IF(AND($D7&gt;0,$F7&gt;0,$E7=$H7),$D7/$F7,""),"")</x:f>
      </x:c>
      <x:c r="L7" s="47" t="str">
        <x:f>IFERROR(IF(AND($D7&gt;0,$G7&gt;0,$E7=$H7),$D7/$G7,""),"")</x:f>
      </x:c>
      <x:c r="M7" s="43" t="str">
        <x:f>IF(AND($I7="approved",$J7="YES",OR($K7&gt;0,$L7&gt;0)),"YES","NO")</x:f>
        <x:v>NO</x:v>
      </x:c>
      <x:c r="N7" t="str">
        <x:v>Not disclosed</x:v>
      </x:c>
      <x:c r="O7" t="str">
        <x:v>N/M: EV and aligned-currency financials are required</x:v>
      </x:c>
    </x:row>
    <x:row r="8">
      <x:c r="A8" s="42" t="str">
        <x:v>DL-3d3c82bb59e25b8e</x:v>
      </x:c>
      <x:c r="B8" s="44" t="n">
        <x:v>46204</x:v>
      </x:c>
      <x:c r="C8" s="42" t="str">
        <x:v>Not disclosed</x:v>
      </x:c>
      <x:c r="D8" s="45"/>
      <x:c r="E8" s="42" t="str">
        <x:v>Not disclosed</x:v>
      </x:c>
      <x:c r="F8" s="45"/>
      <x:c r="G8" s="45"/>
      <x:c r="H8" s="42" t="str">
        <x:v>Not disclosed</x:v>
      </x:c>
      <x:c r="I8" s="42" t="str">
        <x:v>rejected</x:v>
      </x:c>
      <x:c r="J8" s="42" t="str">
        <x:v>NO</x:v>
      </x:c>
      <x:c r="K8" s="47" t="str">
        <x:f>IFERROR(IF(AND($D8&gt;0,$F8&gt;0,$E8=$H8),$D8/$F8,""),"")</x:f>
      </x:c>
      <x:c r="L8" s="47" t="str">
        <x:f>IFERROR(IF(AND($D8&gt;0,$G8&gt;0,$E8=$H8),$D8/$G8,""),"")</x:f>
      </x:c>
      <x:c r="M8" s="43" t="str">
        <x:f>IF(AND($I8="approved",$J8="YES",OR($K8&gt;0,$L8&gt;0)),"YES","NO")</x:f>
        <x:v>NO</x:v>
      </x:c>
      <x:c r="N8" t="str">
        <x:v>Not disclosed</x:v>
      </x:c>
      <x:c r="O8" t="str">
        <x:v>N/M: EV and aligned-currency financials are required</x:v>
      </x:c>
    </x:row>
    <x:row r="9">
      <x:c r="A9" s="42" t="str">
        <x:v>DL-98cc1ca454b70046</x:v>
      </x:c>
      <x:c r="B9" s="44" t="n">
        <x:v>46203</x:v>
      </x:c>
      <x:c r="C9" s="42" t="str">
        <x:v>Not disclosed</x:v>
      </x:c>
      <x:c r="D9" s="45"/>
      <x:c r="E9" s="42" t="str">
        <x:v>Not disclosed</x:v>
      </x:c>
      <x:c r="F9" s="45"/>
      <x:c r="G9" s="45"/>
      <x:c r="H9" s="42" t="str">
        <x:v>Not disclosed</x:v>
      </x:c>
      <x:c r="I9" s="42" t="str">
        <x:v>rejected</x:v>
      </x:c>
      <x:c r="J9" s="42" t="str">
        <x:v>NO</x:v>
      </x:c>
      <x:c r="K9" s="47" t="str">
        <x:f>IFERROR(IF(AND($D9&gt;0,$F9&gt;0,$E9=$H9),$D9/$F9,""),"")</x:f>
      </x:c>
      <x:c r="L9" s="47" t="str">
        <x:f>IFERROR(IF(AND($D9&gt;0,$G9&gt;0,$E9=$H9),$D9/$G9,""),"")</x:f>
      </x:c>
      <x:c r="M9" s="43" t="str">
        <x:f>IF(AND($I9="approved",$J9="YES",OR($K9&gt;0,$L9&gt;0)),"YES","NO")</x:f>
        <x:v>NO</x:v>
      </x:c>
      <x:c r="N9" t="str">
        <x:v>Not disclosed</x:v>
      </x:c>
      <x:c r="O9" t="str">
        <x:v>N/M: EV and aligned-currency financials are required</x:v>
      </x:c>
    </x:row>
    <x:row r="10">
      <x:c r="A10" s="42" t="str">
        <x:v>DL-3c400018ff8f7b5b</x:v>
      </x:c>
      <x:c r="B10" s="44" t="n">
        <x:v>46200</x:v>
      </x:c>
      <x:c r="C10" s="42" t="str">
        <x:v>Not disclosed</x:v>
      </x:c>
      <x:c r="D10" s="45"/>
      <x:c r="E10" s="42" t="str">
        <x:v>Not disclosed</x:v>
      </x:c>
      <x:c r="F10" s="45"/>
      <x:c r="G10" s="45"/>
      <x:c r="H10" s="42" t="str">
        <x:v>Not disclosed</x:v>
      </x:c>
      <x:c r="I10" s="42" t="str">
        <x:v>rejected</x:v>
      </x:c>
      <x:c r="J10" s="42" t="str">
        <x:v>NO</x:v>
      </x:c>
      <x:c r="K10" s="47" t="str">
        <x:f>IFERROR(IF(AND($D10&gt;0,$F10&gt;0,$E10=$H10),$D10/$F10,""),"")</x:f>
      </x:c>
      <x:c r="L10" s="47" t="str">
        <x:f>IFERROR(IF(AND($D10&gt;0,$G10&gt;0,$E10=$H10),$D10/$G10,""),"")</x:f>
      </x:c>
      <x:c r="M10" s="43" t="str">
        <x:f>IF(AND($I10="approved",$J10="YES",OR($K10&gt;0,$L10&gt;0)),"YES","NO")</x:f>
        <x:v>NO</x:v>
      </x:c>
      <x:c r="N10" t="str">
        <x:v>Not disclosed</x:v>
      </x:c>
      <x:c r="O10" t="str">
        <x:v>N/M: EV and aligned-currency financials are required</x:v>
      </x:c>
    </x:row>
    <x:row r="11">
      <x:c r="A11" s="42" t="str">
        <x:v>DL-c0e4b0469b5eb473</x:v>
      </x:c>
      <x:c r="B11" s="44" t="n">
        <x:v>46177</x:v>
      </x:c>
      <x:c r="C11" s="42" t="str">
        <x:v>Ozon</x:v>
      </x:c>
      <x:c r="D11" s="45"/>
      <x:c r="E11" s="42" t="str">
        <x:v>Not disclosed</x:v>
      </x:c>
      <x:c r="F11" s="45"/>
      <x:c r="G11" s="45"/>
      <x:c r="H11" s="42" t="str">
        <x:v>Not disclosed</x:v>
      </x:c>
      <x:c r="I11" s="42" t="str">
        <x:v>review</x:v>
      </x:c>
      <x:c r="J11" s="42" t="str">
        <x:v>NO</x:v>
      </x:c>
      <x:c r="K11" s="47" t="str">
        <x:f>IFERROR(IF(AND($D11&gt;0,$F11&gt;0,$E11=$H11),$D11/$F11,""),"")</x:f>
      </x:c>
      <x:c r="L11" s="47" t="str">
        <x:f>IFERROR(IF(AND($D11&gt;0,$G11&gt;0,$E11=$H11),$D11/$G11,""),"")</x:f>
      </x:c>
      <x:c r="M11" s="43" t="str">
        <x:f>IF(AND($I11="approved",$J11="YES",OR($K11&gt;0,$L11&gt;0)),"YES","NO")</x:f>
        <x:v>NO</x:v>
      </x:c>
      <x:c r="N11" t="str">
        <x:v>Not disclosed</x:v>
      </x:c>
      <x:c r="O11" t="str">
        <x:v>N/M: EV and aligned-currency financials are required</x:v>
      </x:c>
    </x:row>
    <x:row r="12">
      <x:c r="A12" s="42" t="str">
        <x:v>DL-5eba3b27a4e84dd3</x:v>
      </x:c>
      <x:c r="B12" s="44" t="n">
        <x:v>46175</x:v>
      </x:c>
      <x:c r="C12" s="42" t="str">
        <x:v>Авто.ру</x:v>
      </x:c>
      <x:c r="D12" s="45"/>
      <x:c r="E12" s="42" t="str">
        <x:v>RUB</x:v>
      </x:c>
      <x:c r="F12" s="45"/>
      <x:c r="G12" s="45"/>
      <x:c r="H12" s="42" t="str">
        <x:v>Not disclosed</x:v>
      </x:c>
      <x:c r="I12" s="42" t="str">
        <x:v>review</x:v>
      </x:c>
      <x:c r="J12" s="42" t="str">
        <x:v>NO</x:v>
      </x:c>
      <x:c r="K12" s="47" t="str">
        <x:f>IFERROR(IF(AND($D12&gt;0,$F12&gt;0,$E12=$H12),$D12/$F12,""),"")</x:f>
      </x:c>
      <x:c r="L12" s="47" t="str">
        <x:f>IFERROR(IF(AND($D12&gt;0,$G12&gt;0,$E12=$H12),$D12/$G12,""),"")</x:f>
      </x:c>
      <x:c r="M12" s="43" t="str">
        <x:f>IF(AND($I12="approved",$J12="YES",OR($K12&gt;0,$L12&gt;0)),"YES","NO")</x:f>
        <x:v>NO</x:v>
      </x:c>
      <x:c r="N12" t="str">
        <x:v>Not disclosed</x:v>
      </x:c>
      <x:c r="O12" t="str">
        <x:v>N/M: EV and aligned-currency financials are required</x:v>
      </x:c>
    </x:row>
    <x:row r="13">
      <x:c r="A13" s="42" t="str">
        <x:v>DL-e08040bba3b952c1</x:v>
      </x:c>
      <x:c r="B13" s="44" t="n">
        <x:v>46170</x:v>
      </x:c>
      <x:c r="C13" s="42" t="str">
        <x:v>Островок</x:v>
      </x:c>
      <x:c r="D13" s="45"/>
      <x:c r="E13" s="42" t="str">
        <x:v>Not disclosed</x:v>
      </x:c>
      <x:c r="F13" s="45"/>
      <x:c r="G13" s="45"/>
      <x:c r="H13" s="42" t="str">
        <x:v>Not disclosed</x:v>
      </x:c>
      <x:c r="I13" s="42" t="str">
        <x:v>review</x:v>
      </x:c>
      <x:c r="J13" s="42" t="str">
        <x:v>NO</x:v>
      </x:c>
      <x:c r="K13" s="47" t="str">
        <x:f>IFERROR(IF(AND($D13&gt;0,$F13&gt;0,$E13=$H13),$D13/$F13,""),"")</x:f>
      </x:c>
      <x:c r="L13" s="47" t="str">
        <x:f>IFERROR(IF(AND($D13&gt;0,$G13&gt;0,$E13=$H13),$D13/$G13,""),"")</x:f>
      </x:c>
      <x:c r="M13" s="43" t="str">
        <x:f>IF(AND($I13="approved",$J13="YES",OR($K13&gt;0,$L13&gt;0)),"YES","NO")</x:f>
        <x:v>NO</x:v>
      </x:c>
      <x:c r="N13" t="str">
        <x:v>Not disclosed</x:v>
      </x:c>
      <x:c r="O13" t="str">
        <x:v>N/M: EV and aligned-currency financials are required</x:v>
      </x:c>
    </x:row>
    <x:row r="14">
      <x:c r="A14" s="42" t="str">
        <x:v>DL-54c26c1e05d520bd</x:v>
      </x:c>
      <x:c r="B14" s="44" t="n">
        <x:v>46167</x:v>
      </x:c>
      <x:c r="C14" s="42" t="str">
        <x:v>Not disclosed</x:v>
      </x:c>
      <x:c r="D14" s="45"/>
      <x:c r="E14" s="42" t="str">
        <x:v>Not disclosed</x:v>
      </x:c>
      <x:c r="F14" s="45"/>
      <x:c r="G14" s="45"/>
      <x:c r="H14" s="42" t="str">
        <x:v>Not disclosed</x:v>
      </x:c>
      <x:c r="I14" s="42" t="str">
        <x:v>rejected</x:v>
      </x:c>
      <x:c r="J14" s="42" t="str">
        <x:v>NO</x:v>
      </x:c>
      <x:c r="K14" s="47" t="str">
        <x:f>IFERROR(IF(AND($D14&gt;0,$F14&gt;0,$E14=$H14),$D14/$F14,""),"")</x:f>
      </x:c>
      <x:c r="L14" s="47" t="str">
        <x:f>IFERROR(IF(AND($D14&gt;0,$G14&gt;0,$E14=$H14),$D14/$G14,""),"")</x:f>
      </x:c>
      <x:c r="M14" s="43" t="str">
        <x:f>IF(AND($I14="approved",$J14="YES",OR($K14&gt;0,$L14&gt;0)),"YES","NO")</x:f>
        <x:v>NO</x:v>
      </x:c>
      <x:c r="N14" t="str">
        <x:v>Not disclosed</x:v>
      </x:c>
      <x:c r="O14" t="str">
        <x:v>N/M: EV and aligned-currency financials are required</x:v>
      </x:c>
    </x:row>
    <x:row r="15">
      <x:c r="A15" s="42" t="str">
        <x:v>DL-32f044efd41bc454</x:v>
      </x:c>
      <x:c r="B15" s="44" t="n">
        <x:v>46157</x:v>
      </x:c>
      <x:c r="C15" s="42" t="str">
        <x:v>Not disclosed</x:v>
      </x:c>
      <x:c r="D15" s="45"/>
      <x:c r="E15" s="42" t="str">
        <x:v>Not disclosed</x:v>
      </x:c>
      <x:c r="F15" s="45"/>
      <x:c r="G15" s="45"/>
      <x:c r="H15" s="42" t="str">
        <x:v>Not disclosed</x:v>
      </x:c>
      <x:c r="I15" s="42" t="str">
        <x:v>rejected</x:v>
      </x:c>
      <x:c r="J15" s="42" t="str">
        <x:v>NO</x:v>
      </x:c>
      <x:c r="K15" s="47" t="str">
        <x:f>IFERROR(IF(AND($D15&gt;0,$F15&gt;0,$E15=$H15),$D15/$F15,""),"")</x:f>
      </x:c>
      <x:c r="L15" s="47" t="str">
        <x:f>IFERROR(IF(AND($D15&gt;0,$G15&gt;0,$E15=$H15),$D15/$G15,""),"")</x:f>
      </x:c>
      <x:c r="M15" s="43" t="str">
        <x:f>IF(AND($I15="approved",$J15="YES",OR($K15&gt;0,$L15&gt;0)),"YES","NO")</x:f>
        <x:v>NO</x:v>
      </x:c>
      <x:c r="N15" t="str">
        <x:v>Not disclosed</x:v>
      </x:c>
      <x:c r="O15" t="str">
        <x:v>N/M: EV and aligned-currency financials are required</x:v>
      </x:c>
    </x:row>
    <x:row r="16">
      <x:c r="A16" s="42" t="str">
        <x:v>DL-6bc0569f7ac374fe</x:v>
      </x:c>
      <x:c r="B16" s="44" t="n">
        <x:v>46139</x:v>
      </x:c>
      <x:c r="C16" s="42" t="str">
        <x:v>Not disclosed</x:v>
      </x:c>
      <x:c r="D16" s="45"/>
      <x:c r="E16" s="42" t="str">
        <x:v>Not disclosed</x:v>
      </x:c>
      <x:c r="F16" s="45"/>
      <x:c r="G16" s="45"/>
      <x:c r="H16" s="42" t="str">
        <x:v>Not disclosed</x:v>
      </x:c>
      <x:c r="I16" s="42" t="str">
        <x:v>rejected</x:v>
      </x:c>
      <x:c r="J16" s="42" t="str">
        <x:v>NO</x:v>
      </x:c>
      <x:c r="K16" s="47" t="str">
        <x:f>IFERROR(IF(AND($D16&gt;0,$F16&gt;0,$E16=$H16),$D16/$F16,""),"")</x:f>
      </x:c>
      <x:c r="L16" s="47" t="str">
        <x:f>IFERROR(IF(AND($D16&gt;0,$G16&gt;0,$E16=$H16),$D16/$G16,""),"")</x:f>
      </x:c>
      <x:c r="M16" s="43" t="str">
        <x:f>IF(AND($I16="approved",$J16="YES",OR($K16&gt;0,$L16&gt;0)),"YES","NO")</x:f>
        <x:v>NO</x:v>
      </x:c>
      <x:c r="N16" t="str">
        <x:v>Not disclosed</x:v>
      </x:c>
      <x:c r="O16" t="str">
        <x:v>N/M: EV and aligned-currency financials are required</x:v>
      </x:c>
    </x:row>
    <x:row r="17">
      <x:c r="A17" s="42" t="str">
        <x:v>DL-cc671fa6b14f8f28</x:v>
      </x:c>
      <x:c r="B17" s="44" t="n">
        <x:v>46139</x:v>
      </x:c>
      <x:c r="C17" s="42" t="str">
        <x:v>Not disclosed</x:v>
      </x:c>
      <x:c r="D17" s="45"/>
      <x:c r="E17" s="42" t="str">
        <x:v>Not disclosed</x:v>
      </x:c>
      <x:c r="F17" s="45"/>
      <x:c r="G17" s="45"/>
      <x:c r="H17" s="42" t="str">
        <x:v>Not disclosed</x:v>
      </x:c>
      <x:c r="I17" s="42" t="str">
        <x:v>rejected</x:v>
      </x:c>
      <x:c r="J17" s="42" t="str">
        <x:v>NO</x:v>
      </x:c>
      <x:c r="K17" s="47" t="str">
        <x:f>IFERROR(IF(AND($D17&gt;0,$F17&gt;0,$E17=$H17),$D17/$F17,""),"")</x:f>
      </x:c>
      <x:c r="L17" s="47" t="str">
        <x:f>IFERROR(IF(AND($D17&gt;0,$G17&gt;0,$E17=$H17),$D17/$G17,""),"")</x:f>
      </x:c>
      <x:c r="M17" s="43" t="str">
        <x:f>IF(AND($I17="approved",$J17="YES",OR($K17&gt;0,$L17&gt;0)),"YES","NO")</x:f>
        <x:v>NO</x:v>
      </x:c>
      <x:c r="N17" t="str">
        <x:v>Not disclosed</x:v>
      </x:c>
      <x:c r="O17" t="str">
        <x:v>N/M: EV and aligned-currency financials are required</x:v>
      </x:c>
    </x:row>
    <x:row r="18">
      <x:c r="A18" s="42" t="str">
        <x:v>DL-2d1ef3023240f32a</x:v>
      </x:c>
      <x:c r="B18" s="44" t="n">
        <x:v>46139</x:v>
      </x:c>
      <x:c r="C18" s="42" t="str">
        <x:v>Not disclosed</x:v>
      </x:c>
      <x:c r="D18" s="45"/>
      <x:c r="E18" s="42" t="str">
        <x:v>Not disclosed</x:v>
      </x:c>
      <x:c r="F18" s="45"/>
      <x:c r="G18" s="45"/>
      <x:c r="H18" s="42" t="str">
        <x:v>Not disclosed</x:v>
      </x:c>
      <x:c r="I18" s="42" t="str">
        <x:v>rejected</x:v>
      </x:c>
      <x:c r="J18" s="42" t="str">
        <x:v>NO</x:v>
      </x:c>
      <x:c r="K18" s="47" t="str">
        <x:f>IFERROR(IF(AND($D18&gt;0,$F18&gt;0,$E18=$H18),$D18/$F18,""),"")</x:f>
      </x:c>
      <x:c r="L18" s="47" t="str">
        <x:f>IFERROR(IF(AND($D18&gt;0,$G18&gt;0,$E18=$H18),$D18/$G18,""),"")</x:f>
      </x:c>
      <x:c r="M18" s="43" t="str">
        <x:f>IF(AND($I18="approved",$J18="YES",OR($K18&gt;0,$L18&gt;0)),"YES","NO")</x:f>
        <x:v>NO</x:v>
      </x:c>
      <x:c r="N18" t="str">
        <x:v>Not disclosed</x:v>
      </x:c>
      <x:c r="O18" t="str">
        <x:v>N/M: EV and aligned-currency financials are required</x:v>
      </x:c>
    </x:row>
    <x:row r="19">
      <x:c r="A19" s="42" t="str">
        <x:v>DL-dd21f961f579e55a</x:v>
      </x:c>
      <x:c r="B19" s="44" t="n">
        <x:v>46139</x:v>
      </x:c>
      <x:c r="C19" s="42" t="str">
        <x:v>Not disclosed</x:v>
      </x:c>
      <x:c r="D19" s="45"/>
      <x:c r="E19" s="42" t="str">
        <x:v>Not disclosed</x:v>
      </x:c>
      <x:c r="F19" s="45"/>
      <x:c r="G19" s="45"/>
      <x:c r="H19" s="42" t="str">
        <x:v>Not disclosed</x:v>
      </x:c>
      <x:c r="I19" s="42" t="str">
        <x:v>rejected</x:v>
      </x:c>
      <x:c r="J19" s="42" t="str">
        <x:v>NO</x:v>
      </x:c>
      <x:c r="K19" s="47" t="str">
        <x:f>IFERROR(IF(AND($D19&gt;0,$F19&gt;0,$E19=$H19),$D19/$F19,""),"")</x:f>
      </x:c>
      <x:c r="L19" s="47" t="str">
        <x:f>IFERROR(IF(AND($D19&gt;0,$G19&gt;0,$E19=$H19),$D19/$G19,""),"")</x:f>
      </x:c>
      <x:c r="M19" s="43" t="str">
        <x:f>IF(AND($I19="approved",$J19="YES",OR($K19&gt;0,$L19&gt;0)),"YES","NO")</x:f>
        <x:v>NO</x:v>
      </x:c>
      <x:c r="N19" t="str">
        <x:v>Not disclosed</x:v>
      </x:c>
      <x:c r="O19" t="str">
        <x:v>N/M: EV and aligned-currency financials are required</x:v>
      </x:c>
    </x:row>
    <x:row r="20">
      <x:c r="A20" s="42" t="str">
        <x:v>DL-276fe11e133d5a4b</x:v>
      </x:c>
      <x:c r="B20" s="44" t="n">
        <x:v>46139</x:v>
      </x:c>
      <x:c r="C20" s="42" t="str">
        <x:v>Not disclosed</x:v>
      </x:c>
      <x:c r="D20" s="45"/>
      <x:c r="E20" s="42" t="str">
        <x:v>Not disclosed</x:v>
      </x:c>
      <x:c r="F20" s="45"/>
      <x:c r="G20" s="45"/>
      <x:c r="H20" s="42" t="str">
        <x:v>Not disclosed</x:v>
      </x:c>
      <x:c r="I20" s="42" t="str">
        <x:v>rejected</x:v>
      </x:c>
      <x:c r="J20" s="42" t="str">
        <x:v>NO</x:v>
      </x:c>
      <x:c r="K20" s="47" t="str">
        <x:f>IFERROR(IF(AND($D20&gt;0,$F20&gt;0,$E20=$H20),$D20/$F20,""),"")</x:f>
      </x:c>
      <x:c r="L20" s="47" t="str">
        <x:f>IFERROR(IF(AND($D20&gt;0,$G20&gt;0,$E20=$H20),$D20/$G20,""),"")</x:f>
      </x:c>
      <x:c r="M20" s="43" t="str">
        <x:f>IF(AND($I20="approved",$J20="YES",OR($K20&gt;0,$L20&gt;0)),"YES","NO")</x:f>
        <x:v>NO</x:v>
      </x:c>
      <x:c r="N20" t="str">
        <x:v>Not disclosed</x:v>
      </x:c>
      <x:c r="O20" t="str">
        <x:v>N/M: EV and aligned-currency financials are required</x:v>
      </x:c>
    </x:row>
    <x:row r="21">
      <x:c r="A21" s="42" t="str">
        <x:v>DL-c10daba8af8e67d8</x:v>
      </x:c>
      <x:c r="B21" s="44" t="n">
        <x:v>46128</x:v>
      </x:c>
      <x:c r="C21" s="42" t="str">
        <x:v>Точка Банка</x:v>
      </x:c>
      <x:c r="D21" s="45"/>
      <x:c r="E21" s="42" t="str">
        <x:v>RUB</x:v>
      </x:c>
      <x:c r="F21" s="45"/>
      <x:c r="G21" s="45"/>
      <x:c r="H21" s="42" t="str">
        <x:v>Not disclosed</x:v>
      </x:c>
      <x:c r="I21" s="42" t="str">
        <x:v>review</x:v>
      </x:c>
      <x:c r="J21" s="42" t="str">
        <x:v>NO</x:v>
      </x:c>
      <x:c r="K21" s="47" t="str">
        <x:f>IFERROR(IF(AND($D21&gt;0,$F21&gt;0,$E21=$H21),$D21/$F21,""),"")</x:f>
      </x:c>
      <x:c r="L21" s="47" t="str">
        <x:f>IFERROR(IF(AND($D21&gt;0,$G21&gt;0,$E21=$H21),$D21/$G21,""),"")</x:f>
      </x:c>
      <x:c r="M21" s="43" t="str">
        <x:f>IF(AND($I21="approved",$J21="YES",OR($K21&gt;0,$L21&gt;0)),"YES","NO")</x:f>
        <x:v>NO</x:v>
      </x:c>
      <x:c r="N21" t="str">
        <x:v>Not disclosed</x:v>
      </x:c>
      <x:c r="O21" t="str">
        <x:v>N/M: EV and aligned-currency financials are required</x:v>
      </x:c>
    </x:row>
    <x:row r="22">
      <x:c r="A22" s="42" t="str">
        <x:v>DL-251bf0d0b7b600c1</x:v>
      </x:c>
      <x:c r="B22" s="44" t="n">
        <x:v>45642</x:v>
      </x:c>
      <x:c r="C22" s="42" t="str">
        <x:v>Not disclosed</x:v>
      </x:c>
      <x:c r="D22" s="45"/>
      <x:c r="E22" s="42" t="str">
        <x:v>Not disclosed</x:v>
      </x:c>
      <x:c r="F22" s="45"/>
      <x:c r="G22" s="45"/>
      <x:c r="H22" s="42" t="str">
        <x:v>Not disclosed</x:v>
      </x:c>
      <x:c r="I22" s="42" t="str">
        <x:v>review</x:v>
      </x:c>
      <x:c r="J22" s="42" t="str">
        <x:v>NO</x:v>
      </x:c>
      <x:c r="K22" s="47" t="str">
        <x:f>IFERROR(IF(AND($D22&gt;0,$F22&gt;0,$E22=$H22),$D22/$F22,""),"")</x:f>
      </x:c>
      <x:c r="L22" s="47" t="str">
        <x:f>IFERROR(IF(AND($D22&gt;0,$G22&gt;0,$E22=$H22),$D22/$G22,""),"")</x:f>
      </x:c>
      <x:c r="M22" s="43" t="str">
        <x:f>IF(AND($I22="approved",$J22="YES",OR($K22&gt;0,$L22&gt;0)),"YES","NO")</x:f>
        <x:v>NO</x:v>
      </x:c>
      <x:c r="N22" t="str">
        <x:v>Not disclosed</x:v>
      </x:c>
      <x:c r="O22" t="str">
        <x:v>N/M: EV and aligned-currency financials are required</x:v>
      </x:c>
    </x:row>
    <x:row r="23">
      <x:c r="A23" s="42" t="str">
        <x:v>DL-0242cf80b3f97c9c</x:v>
      </x:c>
      <x:c r="B23" s="44" t="n">
        <x:v>45288</x:v>
      </x:c>
      <x:c r="C23" s="42" t="str">
        <x:v>25% провайдера IT-инфраструктуры Selectel</x:v>
      </x:c>
      <x:c r="D23" s="45"/>
      <x:c r="E23" s="42" t="str">
        <x:v>Not disclosed</x:v>
      </x:c>
      <x:c r="F23" s="45"/>
      <x:c r="G23" s="45"/>
      <x:c r="H23" s="42" t="str">
        <x:v>Not disclosed</x:v>
      </x:c>
      <x:c r="I23" s="42" t="str">
        <x:v>review</x:v>
      </x:c>
      <x:c r="J23" s="42" t="str">
        <x:v>NO</x:v>
      </x:c>
      <x:c r="K23" s="47" t="str">
        <x:f>IFERROR(IF(AND($D23&gt;0,$F23&gt;0,$E23=$H23),$D23/$F23,""),"")</x:f>
      </x:c>
      <x:c r="L23" s="47" t="str">
        <x:f>IFERROR(IF(AND($D23&gt;0,$G23&gt;0,$E23=$H23),$D23/$G23,""),"")</x:f>
      </x:c>
      <x:c r="M23" s="43" t="str">
        <x:f>IF(AND($I23="approved",$J23="YES",OR($K23&gt;0,$L23&gt;0)),"YES","NO")</x:f>
        <x:v>NO</x:v>
      </x:c>
      <x:c r="N23" t="str">
        <x:v>Not disclosed</x:v>
      </x:c>
      <x:c r="O23" t="str">
        <x:v>N/M: EV and aligned-currency financials are required</x:v>
      </x:c>
    </x:row>
    <x:row r="24">
      <x:c r="A24" s="42" t="str">
        <x:v>CURATED-MA-CISCO-SPLUNK-2023</x:v>
      </x:c>
      <x:c r="B24" s="44" t="n">
        <x:v>45190</x:v>
      </x:c>
      <x:c r="C24" s="42" t="str">
        <x:v>Splunk</x:v>
      </x:c>
      <x:c r="D24" s="45"/>
      <x:c r="E24" s="42" t="str">
        <x:v>USD</x:v>
      </x:c>
      <x:c r="F24" s="45" t="n">
        <x:v>3653708000</x:v>
      </x:c>
      <x:c r="G24" s="45"/>
      <x:c r="H24" s="42" t="str">
        <x:v>USD</x:v>
      </x:c>
      <x:c r="I24" s="42" t="str">
        <x:v>approved</x:v>
      </x:c>
      <x:c r="J24" s="42" t="str">
        <x:v>YES</x:v>
      </x:c>
      <x:c r="K24" s="47" t="str">
        <x:f>IFERROR(IF(AND($D24&gt;0,$F24&gt;0,$E24=$H24),$D24/$F24,""),"")</x:f>
      </x:c>
      <x:c r="L24" s="47" t="str">
        <x:f>IFERROR(IF(AND($D24&gt;0,$G24&gt;0,$E24=$H24),$D24/$G24,""),"")</x:f>
      </x:c>
      <x:c r="M24" s="43" t="str">
        <x:f>IF(AND($I24="approved",$J24="YES",OR($K24&gt;0,$L24&gt;0)),"YES","NO")</x:f>
        <x:v>NO</x:v>
      </x:c>
      <x:c r="N24" t="str">
        <x:v>Splunk FY2023 Form 10-K</x:v>
      </x:c>
      <x:c r="O24" t="str">
        <x:v>Calculated from disclosed EV and latest audited financials available at announcement</x:v>
      </x:c>
    </x:row>
    <x:row r="25">
      <x:c r="A25" s="42" t="str">
        <x:v>CURATED-MA-BROADCOM-VMWARE-2022</x:v>
      </x:c>
      <x:c r="B25" s="44" t="n">
        <x:v>44707</x:v>
      </x:c>
      <x:c r="C25" s="42" t="str">
        <x:v>VMware</x:v>
      </x:c>
      <x:c r="D25" s="45" t="n">
        <x:v>69000000000</x:v>
      </x:c>
      <x:c r="E25" s="42" t="str">
        <x:v>USD</x:v>
      </x:c>
      <x:c r="F25" s="45" t="n">
        <x:v>12851000000</x:v>
      </x:c>
      <x:c r="G25" s="45" t="n">
        <x:v>2966000000</x:v>
      </x:c>
      <x:c r="H25" s="42" t="str">
        <x:v>USD</x:v>
      </x:c>
      <x:c r="I25" s="42" t="str">
        <x:v>approved</x:v>
      </x:c>
      <x:c r="J25" s="42" t="str">
        <x:v>YES</x:v>
      </x:c>
      <x:c r="K25" s="47" t="n">
        <x:f>IFERROR(IF(AND($D25&gt;0,$F25&gt;0,$E25=$H25),$D25/$F25,""),"")</x:f>
        <x:v>5.369231966383939</x:v>
      </x:c>
      <x:c r="L25" s="47" t="n">
        <x:f>IFERROR(IF(AND($D25&gt;0,$G25&gt;0,$E25=$H25),$D25/$G25,""),"")</x:f>
        <x:v>23.263654753877276</x:v>
      </x:c>
      <x:c r="M25" s="43" t="str">
        <x:f>IF(AND($I25="approved",$J25="YES",OR($K25&gt;0,$L25&gt;0)),"YES","NO")</x:f>
        <x:v>YES</x:v>
      </x:c>
      <x:c r="N25" t="str">
        <x:v>VMware FY2022 Form 10-K</x:v>
      </x:c>
      <x:c r="O25" t="str">
        <x:v>Calculated from disclosed EV and latest audited financials available at announcement</x:v>
      </x:c>
    </x:row>
    <x:row r="26">
      <x:c r="A26" s="42" t="str">
        <x:v>CURATED-MA-THOMA-BRAVO-ANAPLAN-2022</x:v>
      </x:c>
      <x:c r="B26" s="44" t="n">
        <x:v>44640</x:v>
      </x:c>
      <x:c r="C26" s="42" t="str">
        <x:v>Anaplan</x:v>
      </x:c>
      <x:c r="D26" s="45"/>
      <x:c r="E26" s="42" t="str">
        <x:v>USD</x:v>
      </x:c>
      <x:c r="F26" s="45" t="n">
        <x:v>592200000</x:v>
      </x:c>
      <x:c r="G26" s="45"/>
      <x:c r="H26" s="42" t="str">
        <x:v>USD</x:v>
      </x:c>
      <x:c r="I26" s="42" t="str">
        <x:v>approved</x:v>
      </x:c>
      <x:c r="J26" s="42" t="str">
        <x:v>NO</x:v>
      </x:c>
      <x:c r="K26" s="47" t="str">
        <x:f>IFERROR(IF(AND($D26&gt;0,$F26&gt;0,$E26=$H26),$D26/$F26,""),"")</x:f>
      </x:c>
      <x:c r="L26" s="47" t="str">
        <x:f>IFERROR(IF(AND($D26&gt;0,$G26&gt;0,$E26=$H26),$D26/$G26,""),"")</x:f>
      </x:c>
      <x:c r="M26" s="43" t="str">
        <x:f>IF(AND($I26="approved",$J26="YES",OR($K26&gt;0,$L26&gt;0)),"YES","NO")</x:f>
        <x:v>NO</x:v>
      </x:c>
      <x:c r="N26" t="str">
        <x:v>Anaplan FY2022 Form 10-K</x:v>
      </x:c>
      <x:c r="O26" t="str">
        <x:v>Calculated from disclosed EV and audited financials; report became available after announcement</x:v>
      </x:c>
    </x:row>
    <x:row r="27">
      <x:c r="A27" s="42" t="str">
        <x:v>CURATED-MA-VISTA-CITRIX-2022</x:v>
      </x:c>
      <x:c r="B27" s="44" t="n">
        <x:v>44592</x:v>
      </x:c>
      <x:c r="C27" s="42" t="str">
        <x:v>Citrix Systems</x:v>
      </x:c>
      <x:c r="D27" s="45" t="n">
        <x:v>16500000000</x:v>
      </x:c>
      <x:c r="E27" s="42" t="str">
        <x:v>USD</x:v>
      </x:c>
      <x:c r="F27" s="45" t="n">
        <x:v>3217170000</x:v>
      </x:c>
      <x:c r="G27" s="45"/>
      <x:c r="H27" s="42" t="str">
        <x:v>USD</x:v>
      </x:c>
      <x:c r="I27" s="42" t="str">
        <x:v>approved</x:v>
      </x:c>
      <x:c r="J27" s="42" t="str">
        <x:v>NO</x:v>
      </x:c>
      <x:c r="K27" s="47" t="n">
        <x:f>IFERROR(IF(AND($D27&gt;0,$F27&gt;0,$E27=$H27),$D27/$F27,""),"")</x:f>
        <x:v>5.1287311519130165</x:v>
      </x:c>
      <x:c r="L27" s="47" t="str">
        <x:f>IFERROR(IF(AND($D27&gt;0,$G27&gt;0,$E27=$H27),$D27/$G27,""),"")</x:f>
      </x:c>
      <x:c r="M27" s="43" t="str">
        <x:f>IF(AND($I27="approved",$J27="YES",OR($K27&gt;0,$L27&gt;0)),"YES","NO")</x:f>
        <x:v>NO</x:v>
      </x:c>
      <x:c r="N27" t="str">
        <x:v>Citrix FY2021 Form 10-K</x:v>
      </x:c>
      <x:c r="O27" t="str">
        <x:v>Calculated from disclosed EV and audited financials; report became available after announcement</x:v>
      </x:c>
    </x:row>
    <x:row r="28">
      <x:c r="A28" s="42" t="str">
        <x:v>CURATED-MA-MICROSOFT-ACTIVISION-2022</x:v>
      </x:c>
      <x:c r="B28" s="44" t="n">
        <x:v>44579</x:v>
      </x:c>
      <x:c r="C28" s="42" t="str">
        <x:v>Activision Blizzard</x:v>
      </x:c>
      <x:c r="D28" s="45" t="n">
        <x:v>68700000000</x:v>
      </x:c>
      <x:c r="E28" s="42" t="str">
        <x:v>USD</x:v>
      </x:c>
      <x:c r="F28" s="45" t="n">
        <x:v>8086000000</x:v>
      </x:c>
      <x:c r="G28" s="45"/>
      <x:c r="H28" s="42" t="str">
        <x:v>USD</x:v>
      </x:c>
      <x:c r="I28" s="42" t="str">
        <x:v>approved</x:v>
      </x:c>
      <x:c r="J28" s="42" t="str">
        <x:v>YES</x:v>
      </x:c>
      <x:c r="K28" s="47" t="n">
        <x:f>IFERROR(IF(AND($D28&gt;0,$F28&gt;0,$E28=$H28),$D28/$F28,""),"")</x:f>
        <x:v>8.496166213208014</x:v>
      </x:c>
      <x:c r="L28" s="47" t="str">
        <x:f>IFERROR(IF(AND($D28&gt;0,$G28&gt;0,$E28=$H28),$D28/$G28,""),"")</x:f>
      </x:c>
      <x:c r="M28" s="43" t="str">
        <x:f>IF(AND($I28="approved",$J28="YES",OR($K28&gt;0,$L28&gt;0)),"YES","NO")</x:f>
        <x:v>YES</x:v>
      </x:c>
      <x:c r="N28" t="str">
        <x:v>Activision Blizzard FY2020 Form 10-K</x:v>
      </x:c>
      <x:c r="O28" t="str">
        <x:v>Calculated from disclosed EV and latest audited financials available at announcement</x:v>
      </x:c>
    </x:row>
    <x:row r="29">
      <x:c r="A29" s="42" t="str">
        <x:v>CURATED-MA-SALESFORCE-SLACK-2020</x:v>
      </x:c>
      <x:c r="B29" s="44" t="n">
        <x:v>44166</x:v>
      </x:c>
      <x:c r="C29" s="42" t="str">
        <x:v>Slack Technologies</x:v>
      </x:c>
      <x:c r="D29" s="45" t="n">
        <x:v>27700000000</x:v>
      </x:c>
      <x:c r="E29" s="42" t="str">
        <x:v>USD</x:v>
      </x:c>
      <x:c r="F29" s="45" t="n">
        <x:v>630422000</x:v>
      </x:c>
      <x:c r="G29" s="45"/>
      <x:c r="H29" s="42" t="str">
        <x:v>USD</x:v>
      </x:c>
      <x:c r="I29" s="42" t="str">
        <x:v>approved</x:v>
      </x:c>
      <x:c r="J29" s="42" t="str">
        <x:v>YES</x:v>
      </x:c>
      <x:c r="K29" s="47" t="n">
        <x:f>IFERROR(IF(AND($D29&gt;0,$F29&gt;0,$E29=$H29),$D29/$F29,""),"")</x:f>
        <x:v>43.938821931975724</x:v>
      </x:c>
      <x:c r="L29" s="47" t="str">
        <x:f>IFERROR(IF(AND($D29&gt;0,$G29&gt;0,$E29=$H29),$D29/$G29,""),"")</x:f>
      </x:c>
      <x:c r="M29" s="43" t="str">
        <x:f>IF(AND($I29="approved",$J29="YES",OR($K29&gt;0,$L29&gt;0)),"YES","NO")</x:f>
        <x:v>YES</x:v>
      </x:c>
      <x:c r="N29" t="str">
        <x:v>Slack FY2020 Form 10-K</x:v>
      </x:c>
      <x:c r="O29" t="str">
        <x:v>Calculated from disclosed EV and latest audited financials available at announcement</x:v>
      </x:c>
    </x:row>
    <x:row r="30">
      <x:c r="A30" s="42" t="str">
        <x:v>CURATED-MA-AMD-XILINX-2020</x:v>
      </x:c>
      <x:c r="B30" s="44" t="n">
        <x:v>44131</x:v>
      </x:c>
      <x:c r="C30" s="42" t="str">
        <x:v>Xilinx</x:v>
      </x:c>
      <x:c r="D30" s="45"/>
      <x:c r="E30" s="42" t="str">
        <x:v>USD</x:v>
      </x:c>
      <x:c r="F30" s="45" t="n">
        <x:v>3162666000</x:v>
      </x:c>
      <x:c r="G30" s="45"/>
      <x:c r="H30" s="42" t="str">
        <x:v>USD</x:v>
      </x:c>
      <x:c r="I30" s="42" t="str">
        <x:v>approved</x:v>
      </x:c>
      <x:c r="J30" s="42" t="str">
        <x:v>YES</x:v>
      </x:c>
      <x:c r="K30" s="47" t="str">
        <x:f>IFERROR(IF(AND($D30&gt;0,$F30&gt;0,$E30=$H30),$D30/$F30,""),"")</x:f>
      </x:c>
      <x:c r="L30" s="47" t="str">
        <x:f>IFERROR(IF(AND($D30&gt;0,$G30&gt;0,$E30=$H30),$D30/$G30,""),"")</x:f>
      </x:c>
      <x:c r="M30" s="43" t="str">
        <x:f>IF(AND($I30="approved",$J30="YES",OR($K30&gt;0,$L30&gt;0)),"YES","NO")</x:f>
        <x:v>NO</x:v>
      </x:c>
      <x:c r="N30" t="str">
        <x:v>Xilinx FY2020 Form 10-K</x:v>
      </x:c>
      <x:c r="O30" t="str">
        <x:v>Calculated from disclosed EV and latest audited financials available at announcement</x:v>
      </x:c>
    </x:row>
    <x:row r="31">
      <x:c r="A31" s="42" t="str">
        <x:v>CURATED-MA-SALESFORCE-TABLEAU-2019</x:v>
      </x:c>
      <x:c r="B31" s="44" t="n">
        <x:v>43626</x:v>
      </x:c>
      <x:c r="C31" s="42" t="str">
        <x:v>Tableau Software</x:v>
      </x:c>
      <x:c r="D31" s="45" t="n">
        <x:v>15700000000</x:v>
      </x:c>
      <x:c r="E31" s="42" t="str">
        <x:v>USD</x:v>
      </x:c>
      <x:c r="F31" s="45" t="n">
        <x:v>1159000000</x:v>
      </x:c>
      <x:c r="G31" s="45"/>
      <x:c r="H31" s="42" t="str">
        <x:v>USD</x:v>
      </x:c>
      <x:c r="I31" s="42" t="str">
        <x:v>approved</x:v>
      </x:c>
      <x:c r="J31" s="42" t="str">
        <x:v>YES</x:v>
      </x:c>
      <x:c r="K31" s="47" t="n">
        <x:f>IFERROR(IF(AND($D31&gt;0,$F31&gt;0,$E31=$H31),$D31/$F31,""),"")</x:f>
        <x:v>13.546160483175152</x:v>
      </x:c>
      <x:c r="L31" s="47" t="str">
        <x:f>IFERROR(IF(AND($D31&gt;0,$G31&gt;0,$E31=$H31),$D31/$G31,""),"")</x:f>
      </x:c>
      <x:c r="M31" s="43" t="str">
        <x:f>IF(AND($I31="approved",$J31="YES",OR($K31&gt;0,$L31&gt;0)),"YES","NO")</x:f>
        <x:v>YES</x:v>
      </x:c>
      <x:c r="N31" t="str">
        <x:v>Tableau FY2018 Form 10-K</x:v>
      </x:c>
      <x:c r="O31" t="str">
        <x:v>Calculated from disclosed EV and latest audited financials available at announcement</x:v>
      </x:c>
    </x:row>
    <x:row r="32">
      <x:c r="A32" s="42" t="str">
        <x:v>CURATED-MA-IBM-RED-HAT-2018</x:v>
      </x:c>
      <x:c r="B32" s="44" t="n">
        <x:v>43401</x:v>
      </x:c>
      <x:c r="C32" s="42" t="str">
        <x:v>Red Hat</x:v>
      </x:c>
      <x:c r="D32" s="45" t="n">
        <x:v>34000000000</x:v>
      </x:c>
      <x:c r="E32" s="42" t="str">
        <x:v>USD</x:v>
      </x:c>
      <x:c r="F32" s="45" t="n">
        <x:v>2920461000</x:v>
      </x:c>
      <x:c r="G32" s="45"/>
      <x:c r="H32" s="42" t="str">
        <x:v>USD</x:v>
      </x:c>
      <x:c r="I32" s="42" t="str">
        <x:v>approved</x:v>
      </x:c>
      <x:c r="J32" s="42" t="str">
        <x:v>YES</x:v>
      </x:c>
      <x:c r="K32" s="47" t="n">
        <x:f>IFERROR(IF(AND($D32&gt;0,$F32&gt;0,$E32=$H32),$D32/$F32,""),"")</x:f>
        <x:v>11.641997616129782</x:v>
      </x:c>
      <x:c r="L32" s="47" t="str">
        <x:f>IFERROR(IF(AND($D32&gt;0,$G32&gt;0,$E32=$H32),$D32/$G32,""),"")</x:f>
      </x:c>
      <x:c r="M32" s="43" t="str">
        <x:f>IF(AND($I32="approved",$J32="YES",OR($K32&gt;0,$L32&gt;0)),"YES","NO")</x:f>
        <x:v>YES</x:v>
      </x:c>
      <x:c r="N32" t="str">
        <x:v>Red Hat FY2018 Form 10-K</x:v>
      </x:c>
      <x:c r="O32" t="str">
        <x:v>Calculated from disclosed EV and latest audited financials available at announcement</x:v>
      </x:c>
    </x:row>
    <x:row r="33">
      <x:c r="A33" s="42" t="str">
        <x:v>CURATED-MA-MICROSOFT-LINKEDIN-2016</x:v>
      </x:c>
      <x:c r="B33" s="44" t="n">
        <x:v>42534</x:v>
      </x:c>
      <x:c r="C33" s="42" t="str">
        <x:v>LinkedIn</x:v>
      </x:c>
      <x:c r="D33" s="45" t="n">
        <x:v>26200000000</x:v>
      </x:c>
      <x:c r="E33" s="42" t="str">
        <x:v>USD</x:v>
      </x:c>
      <x:c r="F33" s="45" t="n">
        <x:v>2990911000</x:v>
      </x:c>
      <x:c r="G33" s="45" t="n">
        <x:v>254472000</x:v>
      </x:c>
      <x:c r="H33" s="42" t="str">
        <x:v>USD</x:v>
      </x:c>
      <x:c r="I33" s="42" t="str">
        <x:v>approved</x:v>
      </x:c>
      <x:c r="J33" s="42" t="str">
        <x:v>YES</x:v>
      </x:c>
      <x:c r="K33" s="47" t="n">
        <x:f>IFERROR(IF(AND($D33&gt;0,$F33&gt;0,$E33=$H33),$D33/$F33,""),"")</x:f>
        <x:v>8.7598728280447</x:v>
      </x:c>
      <x:c r="L33" s="47" t="n">
        <x:f>IFERROR(IF(AND($D33&gt;0,$G33&gt;0,$E33=$H33),$D33/$G33,""),"")</x:f>
        <x:v>102.95828224716276</x:v>
      </x:c>
      <x:c r="M33" s="43" t="str">
        <x:f>IF(AND($I33="approved",$J33="YES",OR($K33&gt;0,$L33&gt;0)),"YES","NO")</x:f>
        <x:v>YES</x:v>
      </x:c>
      <x:c r="N33" t="str">
        <x:v>LinkedIn FY2015 Form 10-K</x:v>
      </x:c>
      <x:c r="O33" t="str">
        <x:v>Calculated from disclosed EV and latest audited financials available at announcement</x:v>
      </x:c>
    </x:row>
  </x:sheetData>
  <x:mergeCells>
    <x:mergeCell ref="A1:O1"/>
    <x:mergeCell ref="A2:O2"/>
  </x:mergeCells>
  <x:conditionalFormatting sqref="M7:M33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8b01b143ef0d402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30" hidden="0" customWidth="1"/>
    <x:col min="5" max="5" width="18" hidden="0" customWidth="1"/>
    <x:col min="6" max="6" width="13" hidden="0" customWidth="1"/>
    <x:col min="7" max="7" width="50" hidden="0" customWidth="1"/>
    <x:col min="8" max="8" width="14" hidden="0" customWidth="1"/>
    <x:col min="9" max="9" width="55" hidden="0" customWidth="1"/>
    <x:col min="10" max="10" width="3" hidden="0" customWidth="1"/>
    <x:col min="11" max="11" width="30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</x:cols>
  <x:sheetData>
    <x:row r="1" ht="34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6" t="str">
        <x:v>Source register plus visible model checks; every calculation can be traced to a public URL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 ht="23" customHeight="1">
      <x:c r="A4" s="9" t="str">
        <x:v>SOURCE REGISTER</x:v>
      </x:c>
      <x:c r="B4" s="9"/>
      <x:c r="C4" s="9"/>
      <x:c r="D4" s="9"/>
      <x:c r="E4" s="9"/>
      <x:c r="F4" s="9"/>
      <x:c r="G4" s="9"/>
      <x:c r="H4" s="9"/>
      <x:c r="I4" s="9"/>
      <x:c r="K4" s="9" t="str">
        <x:v>MODEL CHECKS</x:v>
      </x:c>
      <x:c r="L4" s="9"/>
      <x:c r="M4" s="9"/>
      <x:c r="N4" s="9"/>
      <x:c r="O4" s="9"/>
      <x:c r="P4" s="9"/>
    </x:row>
    <x:row r="6" ht="34" customHeight="1">
      <x:c r="A6" s="17" t="str">
        <x:v>Deal ID</x:v>
      </x:c>
      <x:c r="B6" s="18" t="str">
        <x:v>Deal Date</x:v>
      </x:c>
      <x:c r="C6" s="18" t="str">
        <x:v>Target / Issuer</x:v>
      </x:c>
      <x:c r="D6" s="18" t="str">
        <x:v>Source</x:v>
      </x:c>
      <x:c r="E6" s="18" t="str">
        <x:v>Type</x:v>
      </x:c>
      <x:c r="F6" s="18" t="str">
        <x:v>Evidence</x:v>
      </x:c>
      <x:c r="G6" s="18" t="str">
        <x:v>URL</x:v>
      </x:c>
      <x:c r="H6" s="18" t="str">
        <x:v>Published</x:v>
      </x:c>
      <x:c r="I6" s="19" t="str">
        <x:v>Headline</x:v>
      </x:c>
      <x:c r="K6" s="17" t="str">
        <x:v>Check</x:v>
      </x:c>
      <x:c r="L6" s="18" t="str">
        <x:v>Actual</x:v>
      </x:c>
      <x:c r="M6" s="18" t="str">
        <x:v>Expected</x:v>
      </x:c>
      <x:c r="N6" s="18" t="str">
        <x:v>Difference</x:v>
      </x:c>
      <x:c r="O6" s="18" t="str">
        <x:v>Tolerance</x:v>
      </x:c>
      <x:c r="P6" s="19" t="str">
        <x:v>Status</x:v>
      </x:c>
    </x:row>
    <x:row r="7">
      <x:c r="A7" s="42" t="str">
        <x:v>DL-moex-101717</x:v>
      </x:c>
      <x:c r="B7" s="44" t="n">
        <x:v>46205</x:v>
      </x:c>
      <x:c r="C7" s="42" t="str">
        <x:v>Not disclosed</x:v>
      </x:c>
      <x:c r="D7" s="42" t="str">
        <x:v>MOEX disclosure</x:v>
      </x:c>
      <x:c r="E7" s="42" t="str">
        <x:v>official_exchange</x:v>
      </x:c>
      <x:c r="F7" s="42" t="str">
        <x:v>confirmed</x:v>
      </x:c>
      <x:c r="G7" s="42" t="str">
        <x:v>https://www.moex.com/n101717</x:v>
      </x:c>
      <x:c r="H7" s="44" t="n">
        <x:v>46205</x:v>
      </x:c>
      <x:c r="I7" s="42" t="str">
        <x:v>Московская биржа начала торги паями активно управляемого БПИФ на российские гособлигации</x:v>
      </x:c>
      <x:c r="K7" t="str">
        <x:v>Duplicate deal IDs</x:v>
      </x:c>
      <x:c r="L7" t="n">
        <x:f>SUMPRODUCT(--(COUNTIF('Deals'!$A$7:$A$506,'Deals'!$A$7:$A$506)&gt;1))/2</x:f>
        <x:v>0</x:v>
      </x:c>
      <x:c r="M7" t="n">
        <x:v>0</x:v>
      </x:c>
      <x:c r="N7" t="n">
        <x:f>L7-M7</x:f>
        <x:v>0</x:v>
      </x:c>
      <x:c r="O7" t="n">
        <x:v>0</x:v>
      </x:c>
      <x:c r="P7" t="str">
        <x:f>IF(ABS(N7)&lt;=O7,"OK","REVIEW")</x:f>
        <x:v>OK</x:v>
      </x:c>
    </x:row>
    <x:row r="8">
      <x:c r="A8" s="42" t="str">
        <x:v>DL-moex-101722</x:v>
      </x:c>
      <x:c r="B8" s="44" t="n">
        <x:v>46205</x:v>
      </x:c>
      <x:c r="C8" s="42" t="str">
        <x:v>Not disclosed</x:v>
      </x:c>
      <x:c r="D8" s="42" t="str">
        <x:v>MOEX disclosure</x:v>
      </x:c>
      <x:c r="E8" s="42" t="str">
        <x:v>official_exchange</x:v>
      </x:c>
      <x:c r="F8" s="42" t="str">
        <x:v>confirmed</x:v>
      </x:c>
      <x:c r="G8" s="42" t="str">
        <x:v>https://www.moex.com/n101722</x:v>
      </x:c>
      <x:c r="H8" s="44" t="n">
        <x:v>46205</x:v>
      </x:c>
      <x:c r="I8" s="42" t="str">
        <x:v>Итоги выпуска биржевых облигаций</x:v>
      </x:c>
      <x:c r="K8" t="str">
        <x:v>Missing primary URLs</x:v>
      </x:c>
      <x:c r="L8" t="n">
        <x:f>COUNTIFS('Deals'!$A$7:$A$506,"&lt;&gt;",'Deals'!$AS$7:$AS$506,"")</x:f>
        <x:v>0</x:v>
      </x:c>
      <x:c r="M8" t="n">
        <x:v>0</x:v>
      </x:c>
      <x:c r="N8" t="n">
        <x:f>L8-M8</x:f>
        <x:v>0</x:v>
      </x:c>
      <x:c r="O8" t="n">
        <x:v>0</x:v>
      </x:c>
      <x:c r="P8" t="str">
        <x:f>IF(ABS(N8)&lt;=O8,"OK","REVIEW")</x:f>
        <x:v>OK</x:v>
      </x:c>
    </x:row>
    <x:row r="9">
      <x:c r="A9" s="42" t="str">
        <x:v>DL-moex-101737</x:v>
      </x:c>
      <x:c r="B9" s="44" t="n">
        <x:v>46205</x:v>
      </x:c>
      <x:c r="C9" s="42" t="str">
        <x:v>Not disclosed</x:v>
      </x:c>
      <x:c r="D9" s="42" t="str">
        <x:v>MOEX disclosure</x:v>
      </x:c>
      <x:c r="E9" s="42" t="str">
        <x:v>official_exchange</x:v>
      </x:c>
      <x:c r="F9" s="42" t="str">
        <x:v>confirmed</x:v>
      </x:c>
      <x:c r="G9" s="42" t="str">
        <x:v>https://www.moex.com/n101737</x:v>
      </x:c>
      <x:c r="H9" s="44" t="n">
        <x:v>46205</x:v>
      </x:c>
      <x:c r="I9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  <x:c r="K9" t="str">
        <x:v>Missing announced dates</x:v>
      </x:c>
      <x:c r="L9" t="n">
        <x:f>COUNTIFS('Deals'!$A$7:$A$506,"&lt;&gt;",'Deals'!$B$7:$B$506,"")</x:f>
        <x:v>0</x:v>
      </x:c>
      <x:c r="M9" t="n">
        <x:v>0</x:v>
      </x:c>
      <x:c r="N9" t="n">
        <x:f>L9-M9</x:f>
        <x:v>0</x:v>
      </x:c>
      <x:c r="O9" t="n">
        <x:v>0</x:v>
      </x:c>
      <x:c r="P9" t="str">
        <x:f>IF(ABS(N9)&lt;=O9,"OK","REVIEW")</x:f>
        <x:v>OK</x:v>
      </x:c>
    </x:row>
    <x:row r="10">
      <x:c r="A10" s="42" t="str">
        <x:v>DL-moex-101734</x:v>
      </x:c>
      <x:c r="B10" s="44" t="n">
        <x:v>46205</x:v>
      </x:c>
      <x:c r="C10" s="42" t="str">
        <x:v>Not disclosed</x:v>
      </x:c>
      <x:c r="D10" s="42" t="str">
        <x:v>MOEX disclosure</x:v>
      </x:c>
      <x:c r="E10" s="42" t="str">
        <x:v>official_exchange</x:v>
      </x:c>
      <x:c r="F10" s="42" t="str">
        <x:v>confirmed</x:v>
      </x:c>
      <x:c r="G10" s="42" t="str">
        <x:v>https://www.moex.com/n101734</x:v>
      </x:c>
      <x:c r="H10" s="44" t="n">
        <x:v>46205</x:v>
      </x:c>
      <x:c r="I10" s="42" t="str">
        <x:v>О регистрации программы и проспекта биржевых облигаций</x:v>
      </x:c>
      <x:c r="K10" t="str">
        <x:v>Unsafe URLs</x:v>
      </x:c>
      <x:c r="L10" t="n">
        <x:f>SUMPRODUCT(--(LEFT('Deals'!$AS$7:$AS$506,4)&lt;&gt;"http"),--('Deals'!$A$7:$A$506&lt;&gt;""))</x:f>
        <x:v>0</x:v>
      </x:c>
      <x:c r="M10" t="n">
        <x:v>0</x:v>
      </x:c>
      <x:c r="N10" t="n">
        <x:f>L10-M10</x:f>
        <x:v>0</x:v>
      </x:c>
      <x:c r="O10" t="n">
        <x:v>0</x:v>
      </x:c>
      <x:c r="P10" t="str">
        <x:f>IF(ABS(N10)&lt;=O10,"OK","REVIEW")</x:f>
        <x:v>OK</x:v>
      </x:c>
    </x:row>
    <x:row r="11">
      <x:c r="A11" s="42" t="str">
        <x:v>DL-moex-101738</x:v>
      </x:c>
      <x:c r="B11" s="44" t="n">
        <x:v>46205</x:v>
      </x:c>
      <x:c r="C11" s="42" t="str">
        <x:v>Not disclosed</x:v>
      </x:c>
      <x:c r="D11" s="42" t="str">
        <x:v>MOEX disclosure</x:v>
      </x:c>
      <x:c r="E11" s="42" t="str">
        <x:v>official_exchange</x:v>
      </x:c>
      <x:c r="F11" s="42" t="str">
        <x:v>confirmed</x:v>
      </x:c>
      <x:c r="G11" s="42" t="str">
        <x:v>https://www.moex.com/n101738</x:v>
      </x:c>
      <x:c r="H11" s="44" t="n">
        <x:v>46205</x:v>
      </x:c>
      <x:c r="I11" s="42" t="str">
        <x:v>О регистрации изменений в эмиссионные документы</x:v>
      </x:c>
      <x:c r="K11" t="str">
        <x:v>Eligible multiples without EV</x:v>
      </x:c>
      <x:c r="L11" t="n">
        <x:f>COUNTIFS('Multiples'!$M$7:$M$506,"YES",'Multiples'!$D$7:$D$506,"")</x:f>
        <x:v>0</x:v>
      </x:c>
      <x:c r="M11" t="n">
        <x:v>0</x:v>
      </x:c>
      <x:c r="N11" t="n">
        <x:f>L11-M11</x:f>
        <x:v>0</x:v>
      </x:c>
      <x:c r="O11" t="n">
        <x:v>0</x:v>
      </x:c>
      <x:c r="P11" t="str">
        <x:f>IF(ABS(N11)&lt;=O11,"OK","REVIEW")</x:f>
        <x:v>OK</x:v>
      </x:c>
    </x:row>
    <x:row r="12">
      <x:c r="A12" s="42" t="str">
        <x:v>DL-moex-101663</x:v>
      </x:c>
      <x:c r="B12" s="44" t="n">
        <x:v>46204</x:v>
      </x:c>
      <x:c r="C12" s="42" t="str">
        <x:v>ООО "УК СГБ"</x:v>
      </x:c>
      <x:c r="D12" s="42" t="str">
        <x:v>MOEX disclosure</x:v>
      </x:c>
      <x:c r="E12" s="42" t="str">
        <x:v>official_exchange</x:v>
      </x:c>
      <x:c r="F12" s="42" t="str">
        <x:v>confirmed</x:v>
      </x:c>
      <x:c r="G12" s="42" t="str">
        <x:v>https://www.moex.com/n101663</x:v>
      </x:c>
      <x:c r="H12" s="44" t="n">
        <x:v>46204</x:v>
      </x:c>
      <x:c r="I12" s="42" t="str">
        <x:v>Информация о приобретении инвестиционных паёв ИПИФ "Синара - Валютные облигации" под управлением ООО "УК СГБ" (RU000A10D7W9)</x:v>
      </x:c>
      <x:c r="K12" t="str">
        <x:v>Eligible multiples with currency mismatch</x:v>
      </x:c>
      <x:c r="L12" t="n">
        <x:f>SUMPRODUCT(--('Multiples'!$M$7:$M$506="YES"),--('Multiples'!$E$7:$E$506&lt;&gt;'Multiples'!$H$7:$H$506))</x:f>
        <x:v>0</x:v>
      </x:c>
      <x:c r="M12" t="n">
        <x:v>0</x:v>
      </x:c>
      <x:c r="N12" t="n">
        <x:f>L12-M12</x:f>
        <x:v>0</x:v>
      </x:c>
      <x:c r="O12" t="n">
        <x:v>0</x:v>
      </x:c>
      <x:c r="P12" t="str">
        <x:f>IF(ABS(N12)&lt;=O12,"OK","REVIEW")</x:f>
        <x:v>OK</x:v>
      </x:c>
    </x:row>
    <x:row r="13">
      <x:c r="A13" s="42" t="str">
        <x:v>DL-moex-101666</x:v>
      </x:c>
      <x:c r="B13" s="44" t="n">
        <x:v>46204</x:v>
      </x:c>
      <x:c r="C13" s="42" t="str">
        <x:v>Not disclosed</x:v>
      </x:c>
      <x:c r="D13" s="42" t="str">
        <x:v>MOEX disclosure</x:v>
      </x:c>
      <x:c r="E13" s="42" t="str">
        <x:v>official_exchange</x:v>
      </x:c>
      <x:c r="F13" s="42" t="str">
        <x:v>confirmed</x:v>
      </x:c>
      <x:c r="G13" s="42" t="str">
        <x:v>https://www.moex.com/n101666</x:v>
      </x:c>
      <x:c r="H13" s="44" t="n">
        <x:v>46204</x:v>
      </x:c>
      <x:c r="I13" s="42" t="str">
        <x:v>Итоги выпуска биржевых облигаций</x:v>
      </x:c>
      <x:c r="K13" t="str">
        <x:v>Financials without source</x:v>
      </x:c>
      <x:c r="L13" t="n">
        <x:f>COUNTIFS('Financials'!$A$7:$A$506,"&lt;&gt;",'Financials'!$N$7:$N$506,"")</x:f>
        <x:v>0</x:v>
      </x:c>
      <x:c r="M13" t="n">
        <x:v>0</x:v>
      </x:c>
      <x:c r="N13" t="n">
        <x:f>L13-M13</x:f>
        <x:v>0</x:v>
      </x:c>
      <x:c r="O13" t="n">
        <x:v>0</x:v>
      </x:c>
      <x:c r="P13" t="str">
        <x:f>IF(ABS(N13)&lt;=O13,"OK","REVIEW")</x:f>
        <x:v>OK</x:v>
      </x:c>
    </x:row>
    <x:row r="14">
      <x:c r="A14" s="42" t="str">
        <x:v>DL-moex-101684</x:v>
      </x:c>
      <x:c r="B14" s="44" t="n">
        <x:v>46204</x:v>
      </x:c>
      <x:c r="C14" s="42" t="str">
        <x:v>Not disclosed</x:v>
      </x:c>
      <x:c r="D14" s="42" t="str">
        <x:v>MOEX disclosure</x:v>
      </x:c>
      <x:c r="E14" s="42" t="str">
        <x:v>official_exchange</x:v>
      </x:c>
      <x:c r="F14" s="42" t="str">
        <x:v>confirmed</x:v>
      </x:c>
      <x:c r="G14" s="42" t="str">
        <x:v>https://www.moex.com/n101684</x:v>
      </x:c>
      <x:c r="H14" s="44" t="n">
        <x:v>46204</x:v>
      </x:c>
      <x:c r="I14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  <x:c r="K14" t="str">
        <x:v>Approved non-deal records</x:v>
      </x:c>
      <x:c r="L14" t="n">
        <x:f>COUNTIFS('Deals'!$AN$7:$AN$506,"approved",'Deals'!$D$7:$D$506,"&lt;&gt;deal")</x:f>
        <x:v>0</x:v>
      </x:c>
      <x:c r="M14" t="n">
        <x:v>0</x:v>
      </x:c>
      <x:c r="N14" t="n">
        <x:f>L14-M14</x:f>
        <x:v>0</x:v>
      </x:c>
      <x:c r="O14" t="n">
        <x:v>0</x:v>
      </x:c>
      <x:c r="P14" t="str">
        <x:f>IF(ABS(N14)&lt;=O14,"OK","REVIEW")</x:f>
        <x:v>OK</x:v>
      </x:c>
    </x:row>
    <x:row r="15">
      <x:c r="A15" s="42" t="str">
        <x:v>DL-moex-101691</x:v>
      </x:c>
      <x:c r="B15" s="44" t="n">
        <x:v>46204</x:v>
      </x:c>
      <x:c r="C15" s="42" t="str">
        <x:v>Not disclosed</x:v>
      </x:c>
      <x:c r="D15" s="42" t="str">
        <x:v>MOEX disclosure</x:v>
      </x:c>
      <x:c r="E15" s="42" t="str">
        <x:v>official_exchange</x:v>
      </x:c>
      <x:c r="F15" s="42" t="str">
        <x:v>confirmed</x:v>
      </x:c>
      <x:c r="G15" s="42" t="str">
        <x:v>https://www.moex.com/n101691</x:v>
      </x:c>
      <x:c r="H15" s="44" t="n">
        <x:v>46204</x:v>
      </x:c>
      <x:c r="I15" s="42" t="str">
        <x:v>О регистрации изменений в эмиссионные документы</x:v>
      </x:c>
      <x:c r="K15" t="str">
        <x:v>Stake populated outside M&amp;A</x:v>
      </x:c>
      <x:c r="L15" t="n">
        <x:f>SUMPRODUCT(--('Deals'!$A$7:$A$506&lt;&gt;""),--('Deals'!$C$7:$C$506&lt;&gt;"M&amp;A"),--('Deals'!$N$7:$N$506&lt;&gt;""))</x:f>
        <x:v>0</x:v>
      </x:c>
      <x:c r="M15" t="n">
        <x:v>0</x:v>
      </x:c>
      <x:c r="N15" t="n">
        <x:f>L15-M15</x:f>
        <x:v>0</x:v>
      </x:c>
      <x:c r="O15" t="n">
        <x:v>0</x:v>
      </x:c>
      <x:c r="P15" t="str">
        <x:f>IF(ABS(N15)&lt;=O15,"OK","REVIEW")</x:f>
        <x:v>OK</x:v>
      </x:c>
    </x:row>
    <x:row r="16">
      <x:c r="A16" s="42" t="str">
        <x:v>DL-moex-101690</x:v>
      </x:c>
      <x:c r="B16" s="44" t="n">
        <x:v>46204</x:v>
      </x:c>
      <x:c r="C16" s="42" t="str">
        <x:v>Not disclosed</x:v>
      </x:c>
      <x:c r="D16" s="42" t="str">
        <x:v>MOEX disclosure</x:v>
      </x:c>
      <x:c r="E16" s="42" t="str">
        <x:v>official_exchange</x:v>
      </x:c>
      <x:c r="F16" s="42" t="str">
        <x:v>confirmed</x:v>
      </x:c>
      <x:c r="G16" s="42" t="str">
        <x:v>https://www.moex.com/n101690</x:v>
      </x:c>
      <x:c r="H16" s="44" t="n">
        <x:v>46204</x:v>
      </x:c>
      <x:c r="I16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  <x:c r="K16" t="str">
        <x:v>Buyer populated for DCM</x:v>
      </x:c>
      <x:c r="L16" t="n">
        <x:f>SUMPRODUCT(--('Deals'!$C$7:$C$506="DCM"),--('Deals'!$G$7:$G$506&lt;&gt;""),--('Deals'!$G$7:$G$506&lt;&gt;"Not applicable"),--('Deals'!$G$7:$G$506&lt;&gt;"Not disclosed"))</x:f>
        <x:v>0</x:v>
      </x:c>
      <x:c r="M16" t="n">
        <x:v>0</x:v>
      </x:c>
      <x:c r="N16" t="n">
        <x:f>L16-M16</x:f>
        <x:v>0</x:v>
      </x:c>
      <x:c r="O16" t="n">
        <x:v>0</x:v>
      </x:c>
      <x:c r="P16" t="str">
        <x:f>IF(ABS(N16)&lt;=O16,"OK","REVIEW")</x:f>
        <x:v>OK</x:v>
      </x:c>
    </x:row>
    <x:row r="17">
      <x:c r="A17" s="42" t="str">
        <x:v>DL-moex-101688</x:v>
      </x:c>
      <x:c r="B17" s="44" t="n">
        <x:v>46204</x:v>
      </x:c>
      <x:c r="C17" s="42" t="str">
        <x:v>Not disclosed</x:v>
      </x:c>
      <x:c r="D17" s="42" t="str">
        <x:v>MOEX disclosure</x:v>
      </x:c>
      <x:c r="E17" s="42" t="str">
        <x:v>official_exchange</x:v>
      </x:c>
      <x:c r="F17" s="42" t="str">
        <x:v>confirmed</x:v>
      </x:c>
      <x:c r="G17" s="42" t="str">
        <x:v>https://www.moex.com/n101688</x:v>
      </x:c>
      <x:c r="H17" s="44" t="n">
        <x:v>46204</x:v>
      </x:c>
      <x:c r="I17" s="42" t="str">
        <x:v>О порядке приобретения облигаций серии 001Р-09 ПАО "ТрансФин-М" с 02 июля 2026 год</x:v>
      </x:c>
      <x:c r="K17" t="str">
        <x:v>Eligible multiple observations</x:v>
      </x:c>
      <x:c r="L17" t="n">
        <x:f>COUNTIF('Multiples'!$M$7:$M$506,"YES")</x:f>
        <x:v>6</x:v>
      </x:c>
      <x:c r="M17" t="str">
        <x:v>&gt;=1</x:v>
      </x:c>
      <x:c r="P17" t="str">
        <x:f>IF(L17&gt;=1,"OK","REVIEW")</x:f>
        <x:v>OK</x:v>
      </x:c>
    </x:row>
    <x:row r="18">
      <x:c r="A18" s="42" t="str">
        <x:v>DL-fbdcfe31695d48a2</x:v>
      </x:c>
      <x:c r="B18" s="44" t="n">
        <x:v>46204</x:v>
      </x:c>
      <x:c r="C18" s="42" t="str">
        <x:v>Not disclosed</x:v>
      </x:c>
      <x:c r="D18" s="42" t="str">
        <x:v>prospect.com.ru</x:v>
      </x:c>
      <x:c r="E18" s="42" t="str">
        <x:v>public_news</x:v>
      </x:c>
      <x:c r="F18" s="42" t="str">
        <x:v>unverified</x:v>
      </x:c>
      <x:c r="G18" s="42" t="str">
        <x:v>https://prospect.com.ru/news/6836117/vtb-poluchil-v-zalog-krupnyj-paket-aktsij-ozon-summa-sdelki-320-milliardov-rublej.html</x:v>
      </x:c>
      <x:c r="H18" s="44"/>
      <x:c r="I18" s="42" t="str">
        <x:v>ВТБ получает в залог крупный пакет акций Озона в сделке на 300,0 млрд рублей | IF | 01.07.2026 - InvestFuture</x:v>
      </x:c>
    </x:row>
    <x:row r="19">
      <x:c r="A19" s="42" t="str">
        <x:v>DL-fbdcfe31695d48a2</x:v>
      </x:c>
      <x:c r="B19" s="44" t="n">
        <x:v>46204</x:v>
      </x:c>
      <x:c r="C19" s="42" t="str">
        <x:v>Not disclosed</x:v>
      </x:c>
      <x:c r="D19" s="42" t="str">
        <x:v>InvestFuture</x:v>
      </x:c>
      <x:c r="E19" s="42" t="str">
        <x:v>public_news</x:v>
      </x:c>
      <x:c r="F19" s="42" t="str">
        <x:v>unverified</x:v>
      </x:c>
      <x:c r="G19" s="42" t="str">
        <x:v>https://investfuture.ru/articles/vtb-poluchaet-v-zalog-krupniy-paket-aktsiy-ozona-v-sdelke-na-300-0-mlrd-rubley-37123084</x:v>
      </x:c>
      <x:c r="H19" s="44"/>
      <x:c r="I19" s="42" t="str">
        <x:v>ВТБ получает в залог крупный пакет акций Озона в сделке на 300,0 млрд рублей | IF | 01.07.2026 - InvestFuture</x:v>
      </x:c>
      <x:c r="K19" s="51" t="str">
        <x:v>Overall model status</x:v>
      </x:c>
      <x:c r="L19" s="52"/>
      <x:c r="M19" s="52"/>
      <x:c r="N19" s="52"/>
      <x:c r="O19" s="52"/>
      <x:c r="P19" s="53" t="str">
        <x:f>IF(COUNTIF(P7:P17,"REVIEW")=0,"OK","REVIEW")</x:f>
        <x:v>OK</x:v>
      </x:c>
    </x:row>
    <x:row r="20">
      <x:c r="A20" s="42" t="str">
        <x:v>DL-fbdcfe31695d48a2</x:v>
      </x:c>
      <x:c r="B20" s="44" t="n">
        <x:v>46204</x:v>
      </x:c>
      <x:c r="C20" s="42" t="str">
        <x:v>Not disclosed</x:v>
      </x:c>
      <x:c r="D20" s="42" t="str">
        <x:v>InvestFuture</x:v>
      </x:c>
      <x:c r="E20" s="42" t="str">
        <x:v>archive_discovery</x:v>
      </x:c>
      <x:c r="F20" s="42" t="str">
        <x:v>unverified</x:v>
      </x:c>
      <x:c r="G20" s="42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H20" s="44"/>
      <x:c r="I20" s="42" t="str">
        <x:v>ВТБ получает в залог крупный пакет акций Озона в сделке на 300,0 млрд рублей | IF | 01.07.2026 - InvestFuture</x:v>
      </x:c>
    </x:row>
    <x:row r="21">
      <x:c r="A21" s="42" t="str">
        <x:v>DL-fbdcfe31695d48a2</x:v>
      </x:c>
      <x:c r="B21" s="44" t="n">
        <x:v>46204</x:v>
      </x:c>
      <x:c r="C21" s="42" t="str">
        <x:v>Not disclosed</x:v>
      </x:c>
      <x:c r="D21" s="42" t="str">
        <x:v>InvestFuture</x:v>
      </x:c>
      <x:c r="E21" s="42" t="str">
        <x:v>archive_discovery</x:v>
      </x:c>
      <x:c r="F21" s="42" t="str">
        <x:v>unverified</x:v>
      </x:c>
      <x:c r="G21" s="42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H21" s="44"/>
      <x:c r="I21" s="42" t="str">
        <x:v>ВТБ получает в залог крупный пакет акций Озона в сделке на 300,0 млрд рублей | IF | 01.07.2026 - InvestFuture</x:v>
      </x:c>
    </x:row>
    <x:row r="22">
      <x:c r="A22" s="42" t="str">
        <x:v>DL-3d3c82bb59e25b8e</x:v>
      </x:c>
      <x:c r="B22" s="44" t="n">
        <x:v>46204</x:v>
      </x:c>
      <x:c r="C22" s="42" t="str">
        <x:v>Not disclosed</x:v>
      </x:c>
      <x:c r="D22" s="42" t="str">
        <x:v>Финам</x:v>
      </x:c>
      <x:c r="E22" s="42" t="str">
        <x:v>public_web</x:v>
      </x:c>
      <x:c r="F22" s="42" t="str">
        <x:v>unverified</x:v>
      </x:c>
      <x:c r="G22" s="42" t="str">
        <x:v>https://www.finam.ru/publications/item/rynok-pytaetsya-rasti-aktsii-sistemy-ostayutsya-v-liderakh-padeniya-posle-sdelki-s-vtb-20260701-1023/</x:v>
      </x:c>
      <x:c r="H22" s="44" t="n">
        <x:v>46204</x:v>
      </x:c>
      <x:c r="I22" s="42" t="str">
        <x:v>Рынок пытается расти, акции «Системы» остаются в лидерах падения после сделки с ВТБ - Финам</x:v>
      </x:c>
    </x:row>
    <x:row r="23">
      <x:c r="A23" s="42" t="str">
        <x:v>DL-3d3c82bb59e25b8e</x:v>
      </x:c>
      <x:c r="B23" s="44" t="n">
        <x:v>46204</x:v>
      </x:c>
      <x:c r="C23" s="42" t="str">
        <x:v>Not disclosed</x:v>
      </x:c>
      <x:c r="D23" s="42" t="str">
        <x:v>Финам</x:v>
      </x:c>
      <x:c r="E23" s="42" t="str">
        <x:v>archive_discovery</x:v>
      </x:c>
      <x:c r="F23" s="42" t="str">
        <x:v>unverified</x:v>
      </x:c>
      <x:c r="G23" s="42" t="str">
        <x:v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x:v>
      </x:c>
      <x:c r="H23" s="44"/>
      <x:c r="I23" s="42" t="str">
        <x:v>Рынок пытается расти, акции «Системы» остаются в лидерах падения после сделки с ВТБ - Финам</x:v>
      </x:c>
    </x:row>
    <x:row r="24">
      <x:c r="A24" s="42" t="str">
        <x:v>DL-moex-101632</x:v>
      </x:c>
      <x:c r="B24" s="44" t="n">
        <x:v>46203</x:v>
      </x:c>
      <x:c r="C24" s="42" t="str">
        <x:v>Not disclosed</x:v>
      </x:c>
      <x:c r="D24" s="42" t="str">
        <x:v>MOEX disclosure</x:v>
      </x:c>
      <x:c r="E24" s="42" t="str">
        <x:v>official_exchange</x:v>
      </x:c>
      <x:c r="F24" s="42" t="str">
        <x:v>confirmed</x:v>
      </x:c>
      <x:c r="G24" s="42" t="str">
        <x:v>https://www.moex.com/n101632</x:v>
      </x:c>
      <x:c r="H24" s="44" t="n">
        <x:v>46203</x:v>
      </x:c>
      <x:c r="I24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25">
      <x:c r="A25" s="42" t="str">
        <x:v>DL-moex-101636</x:v>
      </x:c>
      <x:c r="B25" s="44" t="n">
        <x:v>46203</x:v>
      </x:c>
      <x:c r="C25" s="42" t="str">
        <x:v>Not disclosed</x:v>
      </x:c>
      <x:c r="D25" s="42" t="str">
        <x:v>MOEX disclosure</x:v>
      </x:c>
      <x:c r="E25" s="42" t="str">
        <x:v>official_exchange</x:v>
      </x:c>
      <x:c r="F25" s="42" t="str">
        <x:v>confirmed</x:v>
      </x:c>
      <x:c r="G25" s="42" t="str">
        <x:v>https://www.moex.com/n101636</x:v>
      </x:c>
      <x:c r="H25" s="44" t="n">
        <x:v>46203</x:v>
      </x:c>
      <x:c r="I25" s="42" t="str">
        <x:v>О проведении 01 июля 2026 года аукциона по размещению ОФЗ выпусков № 26251RMFS</x:v>
      </x:c>
    </x:row>
    <x:row r="26">
      <x:c r="A26" s="42" t="str">
        <x:v>DL-moex-101641</x:v>
      </x:c>
      <x:c r="B26" s="44" t="n">
        <x:v>46203</x:v>
      </x:c>
      <x:c r="C26" s="42" t="str">
        <x:v>Not disclosed</x:v>
      </x:c>
      <x:c r="D26" s="42" t="str">
        <x:v>MOEX disclosure</x:v>
      </x:c>
      <x:c r="E26" s="42" t="str">
        <x:v>official_exchange</x:v>
      </x:c>
      <x:c r="F26" s="42" t="str">
        <x:v>confirmed</x:v>
      </x:c>
      <x:c r="G26" s="42" t="str">
        <x:v>https://www.moex.com/n101641</x:v>
      </x:c>
      <x:c r="H26" s="44" t="n">
        <x:v>46203</x:v>
      </x:c>
      <x:c r="I26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27">
      <x:c r="A27" s="42" t="str">
        <x:v>DL-moex-101644</x:v>
      </x:c>
      <x:c r="B27" s="44" t="n">
        <x:v>46203</x:v>
      </x:c>
      <x:c r="C27" s="42" t="str">
        <x:v>Not disclosed</x:v>
      </x:c>
      <x:c r="D27" s="42" t="str">
        <x:v>MOEX disclosure</x:v>
      </x:c>
      <x:c r="E27" s="42" t="str">
        <x:v>official_exchange</x:v>
      </x:c>
      <x:c r="F27" s="42" t="str">
        <x:v>confirmed</x:v>
      </x:c>
      <x:c r="G27" s="42" t="str">
        <x:v>https://www.moex.com/n101644</x:v>
      </x:c>
      <x:c r="H27" s="44" t="n">
        <x:v>46203</x:v>
      </x:c>
      <x:c r="I27" s="42" t="str">
        <x:v>Итоги выпуска биржевых облигаций</x:v>
      </x:c>
    </x:row>
    <x:row r="28">
      <x:c r="A28" s="42" t="str">
        <x:v>DL-98cc1ca454b70046</x:v>
      </x:c>
      <x:c r="B28" s="44" t="n">
        <x:v>46203</x:v>
      </x:c>
      <x:c r="C28" s="42" t="str">
        <x:v>Not disclosed</x:v>
      </x:c>
      <x:c r="D28" s="42" t="str">
        <x:v>БКС Экспресс</x:v>
      </x:c>
      <x:c r="E28" s="42" t="str">
        <x:v>public_news</x:v>
      </x:c>
      <x:c r="F28" s="42" t="str">
        <x:v>unverified</x:v>
      </x:c>
      <x:c r="G28" s="42" t="str">
        <x:v>https://bcs-express.ru/profit/post/c04797af-4e2e-4910-8d54-2d182d38008c</x:v>
      </x:c>
      <x:c r="H28" s="44"/>
      <x:c r="I28" s="42" t="str">
        <x:v>☄️АФК Система намерена в ближайшее время заключить финансовую сделку на — идея в Профите по AFKS, OZON - БКС Экспресс</x:v>
      </x:c>
    </x:row>
    <x:row r="29">
      <x:c r="A29" s="42" t="str">
        <x:v>DL-98cc1ca454b70046</x:v>
      </x:c>
      <x:c r="B29" s="44" t="n">
        <x:v>46203</x:v>
      </x:c>
      <x:c r="C29" s="42" t="str">
        <x:v>Not disclosed</x:v>
      </x:c>
      <x:c r="D29" s="42" t="str">
        <x:v>БКС Экспресс</x:v>
      </x:c>
      <x:c r="E29" s="42" t="str">
        <x:v>archive_discovery</x:v>
      </x:c>
      <x:c r="F29" s="42" t="str">
        <x:v>unverified</x:v>
      </x:c>
      <x:c r="G29" s="42" t="str">
        <x:v>https://news.google.com/rss/articles/CBMie0FVX3lxTFBKQjBIVS1HWGJtaWhwQU1tQTNveVVPQWhxY3c0VGQxLXBLSXRHWU0tQnJGdGNFa2p5aW9uM19ERkpUVVRPWURMVmFhR1kwZ19SSUlCOWRTSHVOMmJ1WnN2b0lueFRHS1lHeTUtMnV5andwS1pzejBpQy1OMA?oc=5</x:v>
      </x:c>
      <x:c r="H29" s="44"/>
      <x:c r="I29" s="42" t="str">
        <x:v>☄️АФК Система намерена в ближайшее время заключить финансовую сделку на — идея в Профите по AFKS, OZON - БКС Экспресс</x:v>
      </x:c>
    </x:row>
    <x:row r="30">
      <x:c r="A30" s="42" t="str">
        <x:v>DL-e230736ec0b08733</x:v>
      </x:c>
      <x:c r="B30" s="44" t="n">
        <x:v>46203</x:v>
      </x:c>
      <x:c r="C30" s="42" t="str">
        <x:v>Yandex</x:v>
      </x:c>
      <x:c r="D30" s="42" t="str">
        <x:v>Traders Union</x:v>
      </x:c>
      <x:c r="E30" s="42" t="str">
        <x:v>public_deal_news</x:v>
      </x:c>
      <x:c r="F30" s="42" t="str">
        <x:v>unverified</x:v>
      </x:c>
      <x:c r="G30" s="42" t="str">
        <x:v>https://tradersunion.com/ru/news/institutions/show/2532310-moscow-exchange-sberbank-bonds-ios-ydex/</x:v>
      </x:c>
      <x:c r="H30" s="44"/>
      <x:c r="I30" s="42" t="str">
        <x:v>Московская биржа установила порядок размещения облигаций Сбербанка серии ИОС-YDEX-BNR-1Y-001Р-808R - Traders Union</x:v>
      </x:c>
    </x:row>
    <x:row r="31">
      <x:c r="A31" s="42" t="str">
        <x:v>DL-c76896181d89cde6</x:v>
      </x:c>
      <x:c r="B31" s="44" t="n">
        <x:v>46203</x:v>
      </x:c>
      <x:c r="C31" s="42" t="str">
        <x:v>ВУШ завершил первый этап размещения облигаций</x:v>
      </x:c>
      <x:c r="D31" s="42" t="str">
        <x:v>БКС Экспресс</x:v>
      </x:c>
      <x:c r="E31" s="42" t="str">
        <x:v>public_web</x:v>
      </x:c>
      <x:c r="F31" s="42" t="str">
        <x:v>unverified</x:v>
      </x:c>
      <x:c r="G31" s="42" t="str">
        <x:v>https://bcs-express.ru/novosti-i-analitika/vush-zavershil-pervyi-etap-razmeshcheniia-obligatsii</x:v>
      </x:c>
      <x:c r="H31" s="44" t="n">
        <x:v>46203</x:v>
      </x:c>
      <x:c r="I31" s="42" t="str">
        <x:v>ВУШ завершил первый этап размещения облигаций - БКС Экспресс</x:v>
      </x:c>
    </x:row>
    <x:row r="32">
      <x:c r="A32" s="42" t="str">
        <x:v>DL-c76896181d89cde6</x:v>
      </x:c>
      <x:c r="B32" s="44" t="n">
        <x:v>46203</x:v>
      </x:c>
      <x:c r="C32" s="42" t="str">
        <x:v>ВУШ завершил первый этап размещения облигаций</x:v>
      </x:c>
      <x:c r="D32" s="42" t="str">
        <x:v>БКС Экспресс</x:v>
      </x:c>
      <x:c r="E32" s="42" t="str">
        <x:v>archive_discovery</x:v>
      </x:c>
      <x:c r="F32" s="42" t="str">
        <x:v>unverified</x:v>
      </x:c>
      <x:c r="G32" s="42" t="str">
        <x:v>https://news.google.com/rss/articles/CBMimwFBVV95cUxNRV9jMHp5WjVNUWp0Wk0ydlNWT0NhcXVqaldIcVNJbXBBaTBWcW9nTUo5ZnlleF9WOFUxUmVqUGlfNlVObGVmTHNMNVlGenZEUXdmSE1Xa3RDWkpwXy1tZjdyXzdFbUw1SDdpQ2lQOF80Q0pFNmZmVjh1Q2xsU0NoX3VZUjVCSGFjNWZkeGdOSlVoYzFHOWtFeXptSQ?oc=5</x:v>
      </x:c>
      <x:c r="H32" s="44"/>
      <x:c r="I32" s="42" t="str">
        <x:v>ВУШ завершил первый этап размещения облигаций - БКС Экспресс</x:v>
      </x:c>
    </x:row>
    <x:row r="33">
      <x:c r="A33" s="42" t="str">
        <x:v>DL-moex-101536</x:v>
      </x:c>
      <x:c r="B33" s="44" t="n">
        <x:v>46202</x:v>
      </x:c>
      <x:c r="C33" s="42" t="str">
        <x:v>Not disclosed</x:v>
      </x:c>
      <x:c r="D33" s="42" t="str">
        <x:v>MOEX disclosure</x:v>
      </x:c>
      <x:c r="E33" s="42" t="str">
        <x:v>official_exchange</x:v>
      </x:c>
      <x:c r="F33" s="42" t="str">
        <x:v>confirmed</x:v>
      </x:c>
      <x:c r="G33" s="42" t="str">
        <x:v>https://www.moex.com/n101536</x:v>
      </x:c>
      <x:c r="H33" s="44" t="n">
        <x:v>46202</x:v>
      </x:c>
      <x:c r="I33" s="42" t="str">
        <x:v>Итоги выпуска биржевых облигаций</x:v>
      </x:c>
    </x:row>
    <x:row r="34">
      <x:c r="A34" s="42" t="str">
        <x:v>DL-moex-101565</x:v>
      </x:c>
      <x:c r="B34" s="44" t="n">
        <x:v>46202</x:v>
      </x:c>
      <x:c r="C34" s="42" t="str">
        <x:v>Not disclosed</x:v>
      </x:c>
      <x:c r="D34" s="42" t="str">
        <x:v>MOEX disclosure</x:v>
      </x:c>
      <x:c r="E34" s="42" t="str">
        <x:v>official_exchange</x:v>
      </x:c>
      <x:c r="F34" s="42" t="str">
        <x:v>confirmed</x:v>
      </x:c>
      <x:c r="G34" s="42" t="str">
        <x:v>https://www.moex.com/n101565</x:v>
      </x:c>
      <x:c r="H34" s="44" t="n">
        <x:v>46202</x:v>
      </x:c>
      <x:c r="I34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5">
      <x:c r="A35" s="42" t="str">
        <x:v>DL-moex-101562</x:v>
      </x:c>
      <x:c r="B35" s="44" t="n">
        <x:v>46202</x:v>
      </x:c>
      <x:c r="C35" s="42" t="str">
        <x:v>Not disclosed</x:v>
      </x:c>
      <x:c r="D35" s="42" t="str">
        <x:v>MOEX disclosure</x:v>
      </x:c>
      <x:c r="E35" s="42" t="str">
        <x:v>official_exchange</x:v>
      </x:c>
      <x:c r="F35" s="42" t="str">
        <x:v>confirmed</x:v>
      </x:c>
      <x:c r="G35" s="42" t="str">
        <x:v>https://www.moex.com/n101562</x:v>
      </x:c>
      <x:c r="H35" s="44" t="n">
        <x:v>46202</x:v>
      </x:c>
      <x:c r="I35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36">
      <x:c r="A36" s="42" t="str">
        <x:v>DL-moex-101561</x:v>
      </x:c>
      <x:c r="B36" s="44" t="n">
        <x:v>46202</x:v>
      </x:c>
      <x:c r="C36" s="42" t="str">
        <x:v>ПАО АФК "СИСТЕМА"</x:v>
      </x:c>
      <x:c r="D36" s="42" t="str">
        <x:v>MOEX disclosure</x:v>
      </x:c>
      <x:c r="E36" s="42" t="str">
        <x:v>official_exchange</x:v>
      </x:c>
      <x:c r="F36" s="42" t="str">
        <x:v>confirmed</x:v>
      </x:c>
      <x:c r="G36" s="42" t="str">
        <x:v>https://www.moex.com/n101561</x:v>
      </x:c>
      <x:c r="H36" s="44" t="n">
        <x:v>46202</x:v>
      </x:c>
      <x:c r="I36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37">
      <x:c r="A37" s="42" t="str">
        <x:v>DL-moex-101559</x:v>
      </x:c>
      <x:c r="B37" s="44" t="n">
        <x:v>46202</x:v>
      </x:c>
      <x:c r="C37" s="42" t="str">
        <x:v>Акционерное общество "Сбербанк КИБ"</x:v>
      </x:c>
      <x:c r="D37" s="42" t="str">
        <x:v>MOEX disclosure</x:v>
      </x:c>
      <x:c r="E37" s="42" t="str">
        <x:v>official_exchange</x:v>
      </x:c>
      <x:c r="F37" s="42" t="str">
        <x:v>confirmed</x:v>
      </x:c>
      <x:c r="G37" s="42" t="str">
        <x:v>https://www.moex.com/n101559</x:v>
      </x:c>
      <x:c r="H37" s="44" t="n">
        <x:v>46202</x:v>
      </x:c>
      <x:c r="I37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38">
      <x:c r="A38" s="42" t="str">
        <x:v>DL-884a90d63a74113a</x:v>
      </x:c>
      <x:c r="B38" s="44" t="n">
        <x:v>46202</x:v>
      </x:c>
      <x:c r="C38" s="42" t="str">
        <x:v>SpaceX</x:v>
      </x:c>
      <x:c r="D38" s="42" t="str">
        <x:v>Финансы Mail</x:v>
      </x:c>
      <x:c r="E38" s="42" t="str">
        <x:v>public_web</x:v>
      </x:c>
      <x:c r="F38" s="42" t="str">
        <x:v>unverified</x:v>
      </x:c>
      <x:c r="G38" s="42" t="str">
        <x:v>https://finance.mail.ru/article/vyipusk-obligatsij-spacex-na-25-mlrd-vyizval-opaseniya-investorov-69215522/</x:v>
      </x:c>
      <x:c r="H38" s="44" t="n">
        <x:v>46202</x:v>
      </x:c>
      <x:c r="I38" s="42" t="str">
        <x:v>Выпуск облигаций SpaceX на $25 млрд вызвал опасения инвесторов - Финансы Mail</x:v>
      </x:c>
    </x:row>
    <x:row r="39">
      <x:c r="A39" s="42" t="str">
        <x:v>DL-884a90d63a74113a</x:v>
      </x:c>
      <x:c r="B39" s="44" t="n">
        <x:v>46202</x:v>
      </x:c>
      <x:c r="C39" s="42" t="str">
        <x:v>SpaceX</x:v>
      </x:c>
      <x:c r="D39" s="42" t="str">
        <x:v>Финансы Mail</x:v>
      </x:c>
      <x:c r="E39" s="42" t="str">
        <x:v>archive_discovery</x:v>
      </x:c>
      <x:c r="F39" s="42" t="str">
        <x:v>unverified</x:v>
      </x:c>
      <x:c r="G39" s="42" t="str">
        <x:v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x:v>
      </x:c>
      <x:c r="H39" s="44"/>
      <x:c r="I39" s="42" t="str">
        <x:v>Выпуск облигаций SpaceX на $25 млрд вызвал опасения инвесторов - Финансы Mail</x:v>
      </x:c>
    </x:row>
    <x:row r="40">
      <x:c r="A40" s="42" t="str">
        <x:v>DL-b10ff92f48cadefa</x:v>
      </x:c>
      <x:c r="B40" s="44" t="n">
        <x:v>46202</x:v>
      </x:c>
      <x:c r="C40" s="42" t="str">
        <x:v>VKCO</x:v>
      </x:c>
      <x:c r="D40" s="42" t="str">
        <x:v>Финам</x:v>
      </x:c>
      <x:c r="E40" s="42" t="str">
        <x:v>public_web</x:v>
      </x:c>
      <x:c r="F40" s="42" t="str">
        <x:v>unverified</x:v>
      </x:c>
      <x:c r="G40" s="42" t="str">
        <x:v>https://www.finam.ru/publications/item/razmeshcheniya-aktsiy-v-ssha-v-1-polugodii-sostavili-rekordnye-251-mlrd-blagodarya-spacex-20260629-1601/</x:v>
      </x:c>
      <x:c r="H40" s="44" t="n">
        <x:v>46202</x:v>
      </x:c>
      <x:c r="I40" s="42" t="str">
        <x:v>Объем IPO и продаж акций в США в 1 полугодии составил рекордные $251 млрд благодаря SpaceX - Финам</x:v>
      </x:c>
    </x:row>
    <x:row r="41">
      <x:c r="A41" s="42" t="str">
        <x:v>DL-b10ff92f48cadefa</x:v>
      </x:c>
      <x:c r="B41" s="44" t="n">
        <x:v>46202</x:v>
      </x:c>
      <x:c r="C41" s="42" t="str">
        <x:v>VKCO</x:v>
      </x:c>
      <x:c r="D41" s="42" t="str">
        <x:v>Финам</x:v>
      </x:c>
      <x:c r="E41" s="42" t="str">
        <x:v>archive_discovery</x:v>
      </x:c>
      <x:c r="F41" s="42" t="str">
        <x:v>unverified</x:v>
      </x:c>
      <x:c r="G41" s="42" t="str">
        <x:v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x:v>
      </x:c>
      <x:c r="H41" s="44"/>
      <x:c r="I41" s="42" t="str">
        <x:v>Объем IPO и продаж акций в США в 1 полугодии составил рекордные $251 млрд благодаря SpaceX - Финам</x:v>
      </x:c>
    </x:row>
    <x:row r="42">
      <x:c r="A42" s="42" t="str">
        <x:v>DL-4d8f7bcb385b1c88</x:v>
      </x:c>
      <x:c r="B42" s="44" t="n">
        <x:v>46201</x:v>
      </x:c>
      <x:c r="C42" s="42" t="str">
        <x:v>MTSS</x:v>
      </x:c>
      <x:c r="D42" s="42" t="str">
        <x:v>MTS Investor Relations</x:v>
      </x:c>
      <x:c r="E42" s="42" t="str">
        <x:v>public_web</x:v>
      </x:c>
      <x:c r="F42" s="42" t="str">
        <x:v>confirmed</x:v>
      </x:c>
      <x:c r="G42" s="42" t="str">
        <x:v>https://ir.mts.ru/news_and_events/corporate_releases/details/742414</x:v>
      </x:c>
      <x:c r="H42" s="44" t="n">
        <x:v>46201</x:v>
      </x:c>
      <x:c r="I42" s="42" t="str">
        <x:v>МТС успешно закрыла книгу биржевых облигаций 003Р-03 на 20 млрд руб.</x:v>
      </x:c>
    </x:row>
    <x:row r="43">
      <x:c r="A43" s="42" t="str">
        <x:v>DL-bfcdac2063ce29e4</x:v>
      </x:c>
      <x:c r="B43" s="44" t="n">
        <x:v>46201</x:v>
      </x:c>
      <x:c r="C43" s="42" t="str">
        <x:v>YDEX</x:v>
      </x:c>
      <x:c r="D43" s="42" t="str">
        <x:v>Финансы Mail</x:v>
      </x:c>
      <x:c r="E43" s="42" t="str">
        <x:v>public_web</x:v>
      </x:c>
      <x:c r="F43" s="42" t="str">
        <x:v>unverified</x:v>
      </x:c>
      <x:c r="G43" s="42" t="str">
        <x:v>https://finance.mail.ru/article/molodyie-investoryi-uvelichili-vlozheniya-v-obligatsii-v-dva-raza-69215293/</x:v>
      </x:c>
      <x:c r="H43" s="44" t="n">
        <x:v>46201</x:v>
      </x:c>
      <x:c r="I43" s="42" t="str">
        <x:v>Молодые инвесторы увеличили вложения в облигации в два раза - Финансы Mail</x:v>
      </x:c>
    </x:row>
    <x:row r="44">
      <x:c r="A44" s="42" t="str">
        <x:v>DL-bfcdac2063ce29e4</x:v>
      </x:c>
      <x:c r="B44" s="44" t="n">
        <x:v>46201</x:v>
      </x:c>
      <x:c r="C44" s="42" t="str">
        <x:v>YDEX</x:v>
      </x:c>
      <x:c r="D44" s="42" t="str">
        <x:v>Финансы Mail</x:v>
      </x:c>
      <x:c r="E44" s="42" t="str">
        <x:v>archive_discovery</x:v>
      </x:c>
      <x:c r="F44" s="42" t="str">
        <x:v>unverified</x:v>
      </x:c>
      <x:c r="G44" s="42" t="str">
        <x:v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x:v>
      </x:c>
      <x:c r="H44" s="44"/>
      <x:c r="I44" s="42" t="str">
        <x:v>Молодые инвесторы увеличили вложения в облигации в два раза - Финансы Mail</x:v>
      </x:c>
    </x:row>
    <x:row r="45">
      <x:c r="A45" s="42" t="str">
        <x:v>DL-3c400018ff8f7b5b</x:v>
      </x:c>
      <x:c r="B45" s="44" t="n">
        <x:v>46200</x:v>
      </x:c>
      <x:c r="C45" s="42" t="str">
        <x:v>Not disclosed</x:v>
      </x:c>
      <x:c r="D45" s="42" t="str">
        <x:v>foreignpolicyjournal.com</x:v>
      </x:c>
      <x:c r="E45" s="42" t="str">
        <x:v>public_web</x:v>
      </x:c>
      <x:c r="F45" s="42" t="str">
        <x:v>unverified</x:v>
      </x:c>
      <x:c r="G45" s="42" t="str">
        <x:v>https://www.foreignpolicyjournal.com/2026/06/26/nebius-group-nasdaq-nbis-completes-eigen-ai-acquisition-analyst-lifts-stock-price-target-to-280/</x:v>
      </x:c>
      <x:c r="H45" s="44" t="n">
        <x:v>46200</x:v>
      </x:c>
      <x:c r="I45" s="42" t="str">
        <x:v>Nebius Group ( NASDAQ : NBIS ) Completes Eigen AI Acquisition , Analyst Lifts Stock Price Target To $280</x:v>
      </x:c>
    </x:row>
    <x:row r="46">
      <x:c r="A46" s="42" t="str">
        <x:v>DL-moex-101473</x:v>
      </x:c>
      <x:c r="B46" s="44" t="n">
        <x:v>46199</x:v>
      </x:c>
      <x:c r="C46" s="42" t="str">
        <x:v>Not disclosed</x:v>
      </x:c>
      <x:c r="D46" s="42" t="str">
        <x:v>MOEX disclosure</x:v>
      </x:c>
      <x:c r="E46" s="42" t="str">
        <x:v>public_web</x:v>
      </x:c>
      <x:c r="F46" s="42" t="str">
        <x:v>confirmed</x:v>
      </x:c>
      <x:c r="G46" s="42" t="str">
        <x:v>https://www.moex.com/n101473</x:v>
      </x:c>
      <x:c r="H46" s="44" t="n">
        <x:v>46199</x:v>
      </x:c>
      <x:c r="I46" s="42" t="str">
        <x:v>О регистрации проспекта биржевых облигаций</x:v>
      </x:c>
    </x:row>
    <x:row r="47">
      <x:c r="A47" s="42" t="str">
        <x:v>DL-moex-101492</x:v>
      </x:c>
      <x:c r="B47" s="44" t="n">
        <x:v>46199</x:v>
      </x:c>
      <x:c r="C47" s="42" t="str">
        <x:v>Not disclosed</x:v>
      </x:c>
      <x:c r="D47" s="42" t="str">
        <x:v>MOEX disclosure</x:v>
      </x:c>
      <x:c r="E47" s="42" t="str">
        <x:v>official_exchange</x:v>
      </x:c>
      <x:c r="F47" s="42" t="str">
        <x:v>confirmed</x:v>
      </x:c>
      <x:c r="G47" s="42" t="str">
        <x:v>https://www.moex.com/n101492</x:v>
      </x:c>
      <x:c r="H47" s="44" t="n">
        <x:v>46199</x:v>
      </x:c>
      <x:c r="I47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8">
      <x:c r="A48" s="42" t="str">
        <x:v>DL-moex-101468</x:v>
      </x:c>
      <x:c r="B48" s="44" t="n">
        <x:v>46199</x:v>
      </x:c>
      <x:c r="C48" s="42" t="str">
        <x:v>Not disclosed</x:v>
      </x:c>
      <x:c r="D48" s="42" t="str">
        <x:v>MOEX disclosure</x:v>
      </x:c>
      <x:c r="E48" s="42" t="str">
        <x:v>public_web</x:v>
      </x:c>
      <x:c r="F48" s="42" t="str">
        <x:v>confirmed</x:v>
      </x:c>
      <x:c r="G48" s="42" t="str">
        <x:v>https://www.moex.com/n101468</x:v>
      </x:c>
      <x:c r="H48" s="44" t="n">
        <x:v>46199</x:v>
      </x:c>
      <x:c r="I48" s="42" t="str">
        <x:v>О регистрации изменений в эмиссионные документы</x:v>
      </x:c>
    </x:row>
    <x:row r="49">
      <x:c r="A49" s="42" t="str">
        <x:v>DL-moex-101457</x:v>
      </x:c>
      <x:c r="B49" s="44" t="n">
        <x:v>46199</x:v>
      </x:c>
      <x:c r="C49" s="42" t="str">
        <x:v>Not disclosed</x:v>
      </x:c>
      <x:c r="D49" s="42" t="str">
        <x:v>MOEX disclosure</x:v>
      </x:c>
      <x:c r="E49" s="42" t="str">
        <x:v>public_web</x:v>
      </x:c>
      <x:c r="F49" s="42" t="str">
        <x:v>confirmed</x:v>
      </x:c>
      <x:c r="G49" s="42" t="str">
        <x:v>https://www.moex.com/n101457</x:v>
      </x:c>
      <x:c r="H49" s="44" t="n">
        <x:v>46199</x:v>
      </x:c>
      <x:c r="I49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50">
      <x:c r="A50" s="42" t="str">
        <x:v>DL-moex-101454</x:v>
      </x:c>
      <x:c r="B50" s="44" t="n">
        <x:v>46199</x:v>
      </x:c>
      <x:c r="C50" s="42" t="str">
        <x:v>Not disclosed</x:v>
      </x:c>
      <x:c r="D50" s="42" t="str">
        <x:v>MOEX disclosure</x:v>
      </x:c>
      <x:c r="E50" s="42" t="str">
        <x:v>public_web</x:v>
      </x:c>
      <x:c r="F50" s="42" t="str">
        <x:v>confirmed</x:v>
      </x:c>
      <x:c r="G50" s="42" t="str">
        <x:v>https://www.moex.com/n101454</x:v>
      </x:c>
      <x:c r="H50" s="44" t="n">
        <x:v>46199</x:v>
      </x:c>
      <x:c r="I50" s="42" t="str">
        <x:v>О порядке приобретения облигаций серии 001P-04 ООО "АРЕНЗА-ПРО" с 29 июня 2026 год</x:v>
      </x:c>
    </x:row>
    <x:row r="51">
      <x:c r="A51" s="42" t="str">
        <x:v>DL-moex-101451</x:v>
      </x:c>
      <x:c r="B51" s="44" t="n">
        <x:v>46199</x:v>
      </x:c>
      <x:c r="C51" s="42" t="str">
        <x:v>Not disclosed</x:v>
      </x:c>
      <x:c r="D51" s="42" t="str">
        <x:v>MOEX disclosure</x:v>
      </x:c>
      <x:c r="E51" s="42" t="str">
        <x:v>public_web</x:v>
      </x:c>
      <x:c r="F51" s="42" t="str">
        <x:v>confirmed</x:v>
      </x:c>
      <x:c r="G51" s="42" t="str">
        <x:v>https://www.moex.com/n101451</x:v>
      </x:c>
      <x:c r="H51" s="44" t="n">
        <x:v>46199</x:v>
      </x:c>
      <x:c r="I51" s="42" t="str">
        <x:v>О проведении выкупа облигаций с 29 июня по 03 июля 2026 года</x:v>
      </x:c>
    </x:row>
    <x:row r="52">
      <x:c r="A52" s="42" t="str">
        <x:v>DL-moex-101450</x:v>
      </x:c>
      <x:c r="B52" s="44" t="n">
        <x:v>46199</x:v>
      </x:c>
      <x:c r="C52" s="42" t="str">
        <x:v>Not disclosed</x:v>
      </x:c>
      <x:c r="D52" s="42" t="str">
        <x:v>MOEX disclosure</x:v>
      </x:c>
      <x:c r="E52" s="42" t="str">
        <x:v>public_web</x:v>
      </x:c>
      <x:c r="F52" s="42" t="str">
        <x:v>confirmed</x:v>
      </x:c>
      <x:c r="G52" s="42" t="str">
        <x:v>https://www.moex.com/n101450</x:v>
      </x:c>
      <x:c r="H52" s="44" t="n">
        <x:v>46199</x:v>
      </x:c>
      <x:c r="I52" s="42" t="str">
        <x:v>Дополнительные условия проведения торгов по выкупу облигаций серии 003Р-02 ООО "Концерн "РОССИУМ" 26 июня 2026 года</x:v>
      </x:c>
    </x:row>
    <x:row r="53">
      <x:c r="A53" s="42" t="str">
        <x:v>DL-bec65812ff9fcfae</x:v>
      </x:c>
      <x:c r="B53" s="44" t="n">
        <x:v>46197</x:v>
      </x:c>
      <x:c r="C53" s="42" t="str">
        <x:v>Selectel</x:v>
      </x:c>
      <x:c r="D53" s="42" t="str">
        <x:v>ComNews.ru</x:v>
      </x:c>
      <x:c r="E53" s="42" t="str">
        <x:v>public_web</x:v>
      </x:c>
      <x:c r="F53" s="42" t="str">
        <x:v>unverified</x:v>
      </x:c>
      <x:c r="G53" s="42" t="str">
        <x:v>https://www.comnews.ru/content/246003/2026-06-25/2026-w26/1008/selectel-razmestit-obligacii-5-mlrd-rub-dlya-refinansirovaniya-i-investiciy</x:v>
      </x:c>
      <x:c r="H53" s="44" t="n">
        <x:v>46197</x:v>
      </x:c>
      <x:c r="I53" s="42" t="str">
        <x:v>Selectel разместит облигации на 5 млрд руб.</x:v>
      </x:c>
    </x:row>
    <x:row r="54">
      <x:c r="A54" s="42" t="str">
        <x:v>DL-7a721642a53e0f1d</x:v>
      </x:c>
      <x:c r="B54" s="44" t="n">
        <x:v>46192</x:v>
      </x:c>
      <x:c r="C54" s="42" t="str">
        <x:v>Yandex</x:v>
      </x:c>
      <x:c r="D54" s="42" t="str">
        <x:v>Yandex Investor Relations</x:v>
      </x:c>
      <x:c r="E54" s="42" t="str">
        <x:v>public_web</x:v>
      </x:c>
      <x:c r="F54" s="42" t="str">
        <x:v>confirmed</x:v>
      </x:c>
      <x:c r="G54" s="42" t="str">
        <x:v>https://ir.yandex.ru/press-releases?year=2026&amp;id=19-06-2026-03</x:v>
      </x:c>
      <x:c r="H54" s="44" t="n">
        <x:v>46192</x:v>
      </x:c>
      <x:c r="I54" s="42" t="str">
        <x:v>Яндекс разместил два выпуска биржевых облигаций на общую сумму 60 млрд рублей</x:v>
      </x:c>
    </x:row>
    <x:row r="55">
      <x:c r="A55" s="42" t="str">
        <x:v>DL-9092ffd6a36a0a81</x:v>
      </x:c>
      <x:c r="B55" s="44" t="n">
        <x:v>46183</x:v>
      </x:c>
      <x:c r="C55" s="42" t="str">
        <x:v>Норникель</x:v>
      </x:c>
      <x:c r="D55" s="42" t="str">
        <x:v>Интерфакс</x:v>
      </x:c>
      <x:c r="E55" s="42" t="str">
        <x:v>public_web</x:v>
      </x:c>
      <x:c r="F55" s="42" t="str">
        <x:v>unverified</x:v>
      </x:c>
      <x:c r="G55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H55" s="44" t="n">
        <x:v>46183</x:v>
      </x:c>
      <x:c r="I55" s="42" t="str">
        <x:v>"Норникель" зафиксировал объем размещения облигаций на уровне 3 млрд юаней - Интерфакс</x:v>
      </x:c>
    </x:row>
    <x:row r="56">
      <x:c r="A56" s="42" t="str">
        <x:v>DL-f71ff729dc9f5af4</x:v>
      </x:c>
      <x:c r="B56" s="44" t="n">
        <x:v>46181</x:v>
      </x:c>
      <x:c r="C56" s="42" t="str">
        <x:v>Yandex</x:v>
      </x:c>
      <x:c r="D56" s="42" t="str">
        <x:v>Финам</x:v>
      </x:c>
      <x:c r="E56" s="42" t="str">
        <x:v>public_web</x:v>
      </x:c>
      <x:c r="F56" s="42" t="str">
        <x:v>unverified</x:v>
      </x:c>
      <x:c r="G56" s="42" t="str">
        <x:v>https://www.finam.ru/publications/item/yandeks-vnov-vykhodit-na-dolgovoy-rynok-razbor-dvoynogo-razmeshcheniya-obligatsiy-20260608-1729/</x:v>
      </x:c>
      <x:c r="H56" s="44" t="n">
        <x:v>46181</x:v>
      </x:c>
      <x:c r="I56" s="42" t="str">
        <x:v>«Яндекс» вновь выходит на долговой рынок: разбор двойного размещения облигаций - Финам</x:v>
      </x:c>
    </x:row>
    <x:row r="57">
      <x:c r="A57" s="42" t="str">
        <x:v>DL-f71ff729dc9f5af4</x:v>
      </x:c>
      <x:c r="B57" s="44" t="n">
        <x:v>46181</x:v>
      </x:c>
      <x:c r="C57" s="42" t="str">
        <x:v>Yandex</x:v>
      </x:c>
      <x:c r="D57" s="42" t="str">
        <x:v>Финам</x:v>
      </x:c>
      <x:c r="E57" s="42" t="str">
        <x:v>archive_discovery</x:v>
      </x:c>
      <x:c r="F57" s="42" t="str">
        <x:v>unverified</x:v>
      </x:c>
      <x:c r="G57" s="42" t="str">
        <x:v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H57" s="44"/>
      <x:c r="I57" s="42" t="str">
        <x:v>«Яндекс» вновь выходит на долговой рынок: разбор двойного размещения облигаций - Финам</x:v>
      </x:c>
    </x:row>
    <x:row r="58">
      <x:c r="A58" s="42" t="str">
        <x:v>DL-c0e4b0469b5eb473</x:v>
      </x:c>
      <x:c r="B58" s="44" t="n">
        <x:v>46177</x:v>
      </x:c>
      <x:c r="C58" s="42" t="str">
        <x:v>Ozon</x:v>
      </x:c>
      <x:c r="D58" s="42" t="str">
        <x:v>БКС Экспресс</x:v>
      </x:c>
      <x:c r="E58" s="42" t="str">
        <x:v>public_web</x:v>
      </x:c>
      <x:c r="F58" s="42" t="str">
        <x:v>unverified</x:v>
      </x:c>
      <x:c r="G58" s="42" t="str">
        <x:v>https://bcs-express.ru/novosti-i-analitika/gref-oproverg-dogovorennost-sbera-o-pokupke-doli-v-ozone</x:v>
      </x:c>
      <x:c r="H58" s="44" t="n">
        <x:v>46177</x:v>
      </x:c>
      <x:c r="I58" s="42" t="str">
        <x:v>Греф опроверг договоренность Сбера о покупке доли в Озоне - БКС Экспресс</x:v>
      </x:c>
    </x:row>
    <x:row r="59">
      <x:c r="A59" s="42" t="str">
        <x:v>DL-c0e4b0469b5eb473</x:v>
      </x:c>
      <x:c r="B59" s="44" t="n">
        <x:v>46177</x:v>
      </x:c>
      <x:c r="C59" s="42" t="str">
        <x:v>Ozon</x:v>
      </x:c>
      <x:c r="D59" s="42" t="str">
        <x:v>Сибирское информационное агентство</x:v>
      </x:c>
      <x:c r="E59" s="42" t="str">
        <x:v>public_web</x:v>
      </x:c>
      <x:c r="F59" s="42" t="str">
        <x:v>unverified</x:v>
      </x:c>
      <x:c r="G59" s="42" t="str">
        <x:v>https://sia.ru/?section\=484\&amp;action\=show_news\&amp;id\=16828609</x:v>
      </x:c>
      <x:c r="H59" s="44" t="n">
        <x:v>46171</x:v>
      </x:c>
      <x:c r="I59" s="42" t="str">
        <x:v>Греф опроверг договоренность Сбера о покупке доли в Озоне - БКС Экспресс</x:v>
      </x:c>
    </x:row>
    <x:row r="60">
      <x:c r="A60" s="42" t="str">
        <x:v>DL-c0e4b0469b5eb473</x:v>
      </x:c>
      <x:c r="B60" s="44" t="n">
        <x:v>46177</x:v>
      </x:c>
      <x:c r="C60" s="42" t="str">
        <x:v>Ozon</x:v>
      </x:c>
      <x:c r="D60" s="42" t="str">
        <x:v>RB.ru</x:v>
      </x:c>
      <x:c r="E60" s="42" t="str">
        <x:v>public_web</x:v>
      </x:c>
      <x:c r="F60" s="42" t="str">
        <x:v>unverified</x:v>
      </x:c>
      <x:c r="G60" s="42" t="str">
        <x:v>https://rb.ru/news/sber-mozhet-kupit-akcii-v-ozon-na-30-mlrd-investkompaniya-afk-sistema-otricaet-informaciyu-o-prodazhe-doli/</x:v>
      </x:c>
      <x:c r="H60" s="44" t="n">
        <x:v>46170</x:v>
      </x:c>
      <x:c r="I60" s="42" t="str">
        <x:v>Греф опроверг договоренность Сбера о покупке доли в Озоне - БКС Экспресс</x:v>
      </x:c>
    </x:row>
    <x:row r="61">
      <x:c r="A61" s="42" t="str">
        <x:v>DL-c0e4b0469b5eb473</x:v>
      </x:c>
      <x:c r="B61" s="44" t="n">
        <x:v>46177</x:v>
      </x:c>
      <x:c r="C61" s="42" t="str">
        <x:v>Ozon</x:v>
      </x:c>
      <x:c r="D61" s="42" t="str">
        <x:v>Альфа-Банк</x:v>
      </x:c>
      <x:c r="E61" s="42" t="str">
        <x:v>public_web</x:v>
      </x:c>
      <x:c r="F61" s="42" t="str">
        <x:v>unverified</x:v>
      </x:c>
      <x:c r="G61" s="42" t="str">
        <x:v>https://alfabank.ru/alfa-investor/posts/t/2af58b47-265b-f111-91c6-0050569e1fd0/</x:v>
      </x:c>
      <x:c r="H61" s="44" t="n">
        <x:v>46170</x:v>
      </x:c>
      <x:c r="I61" s="42" t="str">
        <x:v>Греф опроверг договоренность Сбера о покупке доли в Озоне - БКС Экспресс</x:v>
      </x:c>
    </x:row>
    <x:row r="62">
      <x:c r="A62" s="42" t="str">
        <x:v>DL-c0e4b0469b5eb473</x:v>
      </x:c>
      <x:c r="B62" s="44" t="n">
        <x:v>46177</x:v>
      </x:c>
      <x:c r="C62" s="42" t="str">
        <x:v>Ozon</x:v>
      </x:c>
      <x:c r="D62" s="42" t="str">
        <x:v>Альфа-Банк</x:v>
      </x:c>
      <x:c r="E62" s="42" t="str">
        <x:v>public_web</x:v>
      </x:c>
      <x:c r="F62" s="42" t="str">
        <x:v>unverified</x:v>
      </x:c>
      <x:c r="G62" s="42" t="str">
        <x:v>https://alfabank.ru/alfa-investor/posts/t/06d3da91-dd5a-f111-91c6-0050569e1fd0/</x:v>
      </x:c>
      <x:c r="H62" s="44" t="n">
        <x:v>46170</x:v>
      </x:c>
      <x:c r="I62" s="42" t="str">
        <x:v>Греф опроверг договоренность Сбера о покупке доли в Озоне - БКС Экспресс</x:v>
      </x:c>
    </x:row>
    <x:row r="63">
      <x:c r="A63" s="42" t="str">
        <x:v>DL-c0e4b0469b5eb473</x:v>
      </x:c>
      <x:c r="B63" s="44" t="n">
        <x:v>46177</x:v>
      </x:c>
      <x:c r="C63" s="42" t="str">
        <x:v>Ozon</x:v>
      </x:c>
      <x:c r="D63" s="42" t="str">
        <x:v>Финам</x:v>
      </x:c>
      <x:c r="E63" s="42" t="str">
        <x:v>public_web</x:v>
      </x:c>
      <x:c r="F63" s="42" t="str">
        <x:v>unverified</x:v>
      </x:c>
      <x:c r="G63" s="42" t="str">
        <x:v>https://www.finam.ru/publications/item/aktsii-afk-sistema-podskochili-na-7-na-soobshcheniyakh-o-pokupke-doli-ozona-strukturami-sbera-20260528-1910/</x:v>
      </x:c>
      <x:c r="H63" s="44" t="n">
        <x:v>46170</x:v>
      </x:c>
      <x:c r="I63" s="42" t="str">
        <x:v>Греф опроверг договоренность Сбера о покупке доли в Озоне - БКС Экспресс</x:v>
      </x:c>
    </x:row>
    <x:row r="64">
      <x:c r="A64" s="42" t="str">
        <x:v>DL-c0e4b0469b5eb473</x:v>
      </x:c>
      <x:c r="B64" s="44" t="n">
        <x:v>46177</x:v>
      </x:c>
      <x:c r="C64" s="42" t="str">
        <x:v>Ozon</x:v>
      </x:c>
      <x:c r="D64" s="42" t="str">
        <x:v>Интерфакс</x:v>
      </x:c>
      <x:c r="E64" s="42" t="str">
        <x:v>public_web</x:v>
      </x:c>
      <x:c r="F64" s="42" t="str">
        <x:v>unverified</x:v>
      </x:c>
      <x:c r="G64" s="42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H64" s="44" t="n">
        <x:v>46170</x:v>
      </x:c>
      <x:c r="I64" s="42" t="str">
        <x:v>Греф опроверг договоренность Сбера о покупке доли в Озоне - БКС Экспресс</x:v>
      </x:c>
    </x:row>
    <x:row r="65">
      <x:c r="A65" s="42" t="str">
        <x:v>DL-c0e4b0469b5eb473</x:v>
      </x:c>
      <x:c r="B65" s="44" t="n">
        <x:v>46177</x:v>
      </x:c>
      <x:c r="C65" s="42" t="str">
        <x:v>Ozon</x:v>
      </x:c>
      <x:c r="D65" s="42" t="str">
        <x:v>Сибирское информационное агентство</x:v>
      </x:c>
      <x:c r="E65" s="42" t="str">
        <x:v>archive_discovery</x:v>
      </x:c>
      <x:c r="F65" s="42" t="str">
        <x:v>unverified</x:v>
      </x:c>
      <x:c r="G65" s="42" t="str">
        <x:v>https://news.google.com/rss/articles/CBMiZ0FVX3lxTE9USzZyMG9pZVA0SGstbWJZRGRwOGxWLTNrc0Vva0xDU1lJV3ZlUDRGTURxZXd0LVVUZXFELWdzM2tVVHB3MHlHNjQzSDFyN3JnbHRRYlFnQnJjX1pqMzB5V3dGTnBUcGc?oc=5</x:v>
      </x:c>
      <x:c r="H65" s="44"/>
      <x:c r="I65" s="42" t="str">
        <x:v>Греф опроверг договоренность Сбера о покупке доли в Озоне - БКС Экспресс</x:v>
      </x:c>
    </x:row>
    <x:row r="66">
      <x:c r="A66" s="42" t="str">
        <x:v>DL-c0e4b0469b5eb473</x:v>
      </x:c>
      <x:c r="B66" s="44" t="n">
        <x:v>46177</x:v>
      </x:c>
      <x:c r="C66" s="42" t="str">
        <x:v>Ozon</x:v>
      </x:c>
      <x:c r="D66" s="42" t="str">
        <x:v>Альфа-Банк</x:v>
      </x:c>
      <x:c r="E66" s="42" t="str">
        <x:v>archive_discovery</x:v>
      </x:c>
      <x:c r="F66" s="42" t="str">
        <x:v>unverified</x:v>
      </x:c>
      <x:c r="G66" s="42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H66" s="44"/>
      <x:c r="I66" s="42" t="str">
        <x:v>Греф опроверг договоренность Сбера о покупке доли в Озоне - БКС Экспресс</x:v>
      </x:c>
    </x:row>
    <x:row r="67">
      <x:c r="A67" s="42" t="str">
        <x:v>DL-c0e4b0469b5eb473</x:v>
      </x:c>
      <x:c r="B67" s="44" t="n">
        <x:v>46177</x:v>
      </x:c>
      <x:c r="C67" s="42" t="str">
        <x:v>Ozon</x:v>
      </x:c>
      <x:c r="D67" s="42" t="str">
        <x:v>Финам</x:v>
      </x:c>
      <x:c r="E67" s="42" t="str">
        <x:v>archive_discovery</x:v>
      </x:c>
      <x:c r="F67" s="42" t="str">
        <x:v>unverified</x:v>
      </x:c>
      <x:c r="G67" s="42" t="str">
        <x:v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x:v>
      </x:c>
      <x:c r="H67" s="44"/>
      <x:c r="I67" s="42" t="str">
        <x:v>Греф опроверг договоренность Сбера о покупке доли в Озоне - БКС Экспресс</x:v>
      </x:c>
    </x:row>
    <x:row r="68">
      <x:c r="A68" s="42" t="str">
        <x:v>DL-c0e4b0469b5eb473</x:v>
      </x:c>
      <x:c r="B68" s="44" t="n">
        <x:v>46177</x:v>
      </x:c>
      <x:c r="C68" s="42" t="str">
        <x:v>Ozon</x:v>
      </x:c>
      <x:c r="D68" s="42" t="str">
        <x:v>БКС Экспресс</x:v>
      </x:c>
      <x:c r="E68" s="42" t="str">
        <x:v>archive_discovery</x:v>
      </x:c>
      <x:c r="F68" s="42" t="str">
        <x:v>unverified</x:v>
      </x:c>
      <x:c r="G68" s="42" t="str">
        <x:v>https://news.google.com/rss/articles/CBMioAFBVV95cUxQM0RKYTRnLW8xX0tVdnh1S3RBQ25IUTNrRGtWSTRudTJVU3A3UXpmZjZCR2ItX2NQNmN1aXdPYUpDN0paWHBfUjBNd2xrWWl6Mk9Zel9MREpqcXl1RUpoUXB2MWNPdFBoYV94Mm0zNkVtcVZFM050R2Jqc2ZKQVdlbkVhVmhuNXZpQWd5STAzOW9fYndtQTBpM0JLTWJmMjlq?oc=5</x:v>
      </x:c>
      <x:c r="H68" s="44"/>
      <x:c r="I68" s="42" t="str">
        <x:v>Греф опроверг договоренность Сбера о покупке доли в Озоне - БКС Экспресс</x:v>
      </x:c>
    </x:row>
    <x:row r="69">
      <x:c r="A69" s="42" t="str">
        <x:v>DL-c0e4b0469b5eb473</x:v>
      </x:c>
      <x:c r="B69" s="44" t="n">
        <x:v>46177</x:v>
      </x:c>
      <x:c r="C69" s="42" t="str">
        <x:v>Ozon</x:v>
      </x:c>
      <x:c r="D69" s="42" t="str">
        <x:v>RB.RU</x:v>
      </x:c>
      <x:c r="E69" s="42" t="str">
        <x:v>archive_discovery</x:v>
      </x:c>
      <x:c r="F69" s="42" t="str">
        <x:v>unverified</x:v>
      </x:c>
      <x:c r="G69" s="42" t="str">
        <x:v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x:v>
      </x:c>
      <x:c r="H69" s="44"/>
      <x:c r="I69" s="42" t="str">
        <x:v>Греф опроверг договоренность Сбера о покупке доли в Озоне - БКС Экспресс</x:v>
      </x:c>
    </x:row>
    <x:row r="70">
      <x:c r="A70" s="42" t="str">
        <x:v>DL-5eba3b27a4e84dd3</x:v>
      </x:c>
      <x:c r="B70" s="44" t="n">
        <x:v>46175</x:v>
      </x:c>
      <x:c r="C70" s="42" t="str">
        <x:v>Авто.ру</x:v>
      </x:c>
      <x:c r="D70" s="42" t="str">
        <x:v>Yandex Investor Relations</x:v>
      </x:c>
      <x:c r="E70" s="42" t="str">
        <x:v>public_web</x:v>
      </x:c>
      <x:c r="F70" s="42" t="str">
        <x:v>confirmed</x:v>
      </x:c>
      <x:c r="G70" s="42" t="str">
        <x:v>https://ir.yandex.ru/press-releases?year=2026&amp;id=02-06-2026-04</x:v>
      </x:c>
      <x:c r="H70" s="44" t="n">
        <x:v>46175</x:v>
      </x:c>
      <x:c r="I70" s="42" t="str">
        <x:v>Яндекс закрыл сделку по продаже Авто.ру</x:v>
      </x:c>
    </x:row>
    <x:row r="71">
      <x:c r="A71" s="42" t="str">
        <x:v>DL-5eba3b27a4e84dd3</x:v>
      </x:c>
      <x:c r="B71" s="44" t="n">
        <x:v>46175</x:v>
      </x:c>
      <x:c r="C71" s="42" t="str">
        <x:v>Авто.ру</x:v>
      </x:c>
      <x:c r="D71" s="42" t="str">
        <x:v>БКС Экспресс</x:v>
      </x:c>
      <x:c r="E71" s="42" t="str">
        <x:v>public_web</x:v>
      </x:c>
      <x:c r="F71" s="42" t="str">
        <x:v>unverified</x:v>
      </x:c>
      <x:c r="G71" s="42" t="str">
        <x:v>https://bcs-express.ru/novosti-i-analitika/t-tekhnologii-zakryli-sdelku-po-pokupke-avto-ru-u-iandeksa</x:v>
      </x:c>
      <x:c r="H71" s="44" t="n">
        <x:v>46176</x:v>
      </x:c>
      <x:c r="I71" s="42" t="str">
        <x:v>Яндекс закрыл сделку по продаже Авто.ру</x:v>
      </x:c>
    </x:row>
    <x:row r="72">
      <x:c r="A72" s="42" t="str">
        <x:v>DL-5eba3b27a4e84dd3</x:v>
      </x:c>
      <x:c r="B72" s="44" t="n">
        <x:v>46175</x:v>
      </x:c>
      <x:c r="C72" s="42" t="str">
        <x:v>Авто.ру</x:v>
      </x:c>
      <x:c r="D72" s="42" t="str">
        <x:v>Финам</x:v>
      </x:c>
      <x:c r="E72" s="42" t="str">
        <x:v>public_web</x:v>
      </x:c>
      <x:c r="F72" s="42" t="str">
        <x:v>unverified</x:v>
      </x:c>
      <x:c r="G72" s="42" t="str">
        <x:v>https://www.finam.ru/publications/item/yandeks-prodal-avtoru-t-tekhnologiyam-20260602-1802/</x:v>
      </x:c>
      <x:c r="H72" s="44" t="n">
        <x:v>46175</x:v>
      </x:c>
      <x:c r="I72" s="42" t="str">
        <x:v>Яндекс закрыл сделку по продаже Авто.ру</x:v>
      </x:c>
    </x:row>
    <x:row r="73">
      <x:c r="A73" s="42" t="str">
        <x:v>DL-5eba3b27a4e84dd3</x:v>
      </x:c>
      <x:c r="B73" s="44" t="n">
        <x:v>46175</x:v>
      </x:c>
      <x:c r="C73" s="42" t="str">
        <x:v>Авто.ру</x:v>
      </x:c>
      <x:c r="D73" s="42" t="str">
        <x:v>БКС Экспресс</x:v>
      </x:c>
      <x:c r="E73" s="42" t="str">
        <x:v>archive_discovery</x:v>
      </x:c>
      <x:c r="F73" s="42" t="str">
        <x:v>unverified</x:v>
      </x:c>
      <x:c r="G73" s="42" t="str">
        <x:v>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H73" s="44"/>
      <x:c r="I73" s="42" t="str">
        <x:v>Яндекс закрыл сделку по продаже Авто.ру</x:v>
      </x:c>
    </x:row>
    <x:row r="74">
      <x:c r="A74" s="42" t="str">
        <x:v>DL-5eba3b27a4e84dd3</x:v>
      </x:c>
      <x:c r="B74" s="44" t="n">
        <x:v>46175</x:v>
      </x:c>
      <x:c r="C74" s="42" t="str">
        <x:v>Авто.ру</x:v>
      </x:c>
      <x:c r="D74" s="42" t="str">
        <x:v>Финам</x:v>
      </x:c>
      <x:c r="E74" s="42" t="str">
        <x:v>archive_discovery</x:v>
      </x:c>
      <x:c r="F74" s="42" t="str">
        <x:v>unverified</x:v>
      </x:c>
      <x:c r="G74" s="42" t="str">
        <x:v>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H74" s="44"/>
      <x:c r="I74" s="42" t="str">
        <x:v>Яндекс закрыл сделку по продаже Авто.ру</x:v>
      </x:c>
    </x:row>
    <x:row r="75">
      <x:c r="A75" s="42" t="str">
        <x:v>DL-e08040bba3b952c1</x:v>
      </x:c>
      <x:c r="B75" s="44" t="n">
        <x:v>46170</x:v>
      </x:c>
      <x:c r="C75" s="42" t="str">
        <x:v>Островок</x:v>
      </x:c>
      <x:c r="D75" s="42" t="str">
        <x:v>Финам</x:v>
      </x:c>
      <x:c r="E75" s="42" t="str">
        <x:v>public_web</x:v>
      </x:c>
      <x:c r="F75" s="42" t="str">
        <x:v>unverified</x:v>
      </x:c>
      <x:c r="G75" s="42" t="str">
        <x:v>https://www.finam.ru/publications/item/yandeks-stal-osnovnym-pretendentom-na-pokupku-ostrovka-20260528-0928/</x:v>
      </x:c>
      <x:c r="H75" s="44" t="n">
        <x:v>46170</x:v>
      </x:c>
      <x:c r="I75" s="42" t="str">
        <x:v>"Яндекс" стал основным претендентом на покупку "Островка" - Финам</x:v>
      </x:c>
    </x:row>
    <x:row r="76">
      <x:c r="A76" s="42" t="str">
        <x:v>DL-e08040bba3b952c1</x:v>
      </x:c>
      <x:c r="B76" s="44" t="n">
        <x:v>46170</x:v>
      </x:c>
      <x:c r="C76" s="42" t="str">
        <x:v>Островок</x:v>
      </x:c>
      <x:c r="D76" s="42" t="str">
        <x:v>Финам</x:v>
      </x:c>
      <x:c r="E76" s="42" t="str">
        <x:v>archive_discovery</x:v>
      </x:c>
      <x:c r="F76" s="42" t="str">
        <x:v>unverified</x:v>
      </x:c>
      <x:c r="G76" s="42" t="str">
        <x:v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H76" s="44"/>
      <x:c r="I76" s="42" t="str">
        <x:v>"Яндекс" стал основным претендентом на покупку "Островка" - Финам</x:v>
      </x:c>
    </x:row>
    <x:row r="77">
      <x:c r="A77" s="42" t="str">
        <x:v>DL-54c26c1e05d520bd</x:v>
      </x:c>
      <x:c r="B77" s="44" t="n">
        <x:v>46167</x:v>
      </x:c>
      <x:c r="C77" s="42" t="str">
        <x:v>Not disclosed</x:v>
      </x:c>
      <x:c r="D77" s="42" t="str">
        <x:v>Финам</x:v>
      </x:c>
      <x:c r="E77" s="42" t="str">
        <x:v>public_web</x:v>
      </x:c>
      <x:c r="F77" s="42" t="str">
        <x:v>unverified</x:v>
      </x:c>
      <x:c r="G77" s="42" t="str">
        <x:v>https://www.finam.ru/publications/item/posledniy-den-pokupki-aktsiy-ozona-pod-dividendy-25-maya-20260525-0652/</x:v>
      </x:c>
      <x:c r="H77" s="44" t="n">
        <x:v>46167</x:v>
      </x:c>
      <x:c r="I77" s="42" t="str">
        <x:v>25.05.26 Последний день покупки акций “Озона” под дивиденды - 25 мая - Финам</x:v>
      </x:c>
    </x:row>
    <x:row r="78">
      <x:c r="A78" s="42" t="str">
        <x:v>DL-54c26c1e05d520bd</x:v>
      </x:c>
      <x:c r="B78" s="44" t="n">
        <x:v>46167</x:v>
      </x:c>
      <x:c r="C78" s="42" t="str">
        <x:v>Not disclosed</x:v>
      </x:c>
      <x:c r="D78" s="42" t="str">
        <x:v>Финам</x:v>
      </x:c>
      <x:c r="E78" s="42" t="str">
        <x:v>archive_discovery</x:v>
      </x:c>
      <x:c r="F78" s="42" t="str">
        <x:v>unverified</x:v>
      </x:c>
      <x:c r="G78" s="42" t="str">
        <x:v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H78" s="44"/>
      <x:c r="I78" s="42" t="str">
        <x:v>25.05.26 Последний день покупки акций “Озона” под дивиденды - 25 мая - Финам</x:v>
      </x:c>
    </x:row>
    <x:row r="79">
      <x:c r="A79" s="42" t="str">
        <x:v>DL-71b6decbb78f4293</x:v>
      </x:c>
      <x:c r="B79" s="44" t="n">
        <x:v>46162</x:v>
      </x:c>
      <x:c r="C79" s="42" t="str">
        <x:v>Ozon</x:v>
      </x:c>
      <x:c r="D79" s="42" t="str">
        <x:v>БКС Экспресс</x:v>
      </x:c>
      <x:c r="E79" s="42" t="str">
        <x:v>public_web</x:v>
      </x:c>
      <x:c r="F79" s="42" t="str">
        <x:v>unverified</x:v>
      </x:c>
      <x:c r="G79" s="42" t="str">
        <x:v>https://bcs-express.ru/novosti-i-analitika/aktsionery-ozon-utverdili-final-nye-dividendy-za-2025</x:v>
      </x:c>
      <x:c r="H79" s="44" t="n">
        <x:v>46162</x:v>
      </x:c>
      <x:c r="I79" s="42" t="str">
        <x:v>Акционеры Озона утвердили финальные дивиденды за 2025 - БКС Экспресс</x:v>
      </x:c>
    </x:row>
    <x:row r="80">
      <x:c r="A80" s="42" t="str">
        <x:v>DL-71b6decbb78f4293</x:v>
      </x:c>
      <x:c r="B80" s="44" t="n">
        <x:v>46162</x:v>
      </x:c>
      <x:c r="C80" s="42" t="str">
        <x:v>Ozon</x:v>
      </x:c>
      <x:c r="D80" s="42" t="str">
        <x:v>БКС Экспресс</x:v>
      </x:c>
      <x:c r="E80" s="42" t="str">
        <x:v>archive_discovery</x:v>
      </x:c>
      <x:c r="F80" s="42" t="str">
        <x:v>unverified</x:v>
      </x:c>
      <x:c r="G80" s="42" t="str">
        <x:v>https://news.google.com/rss/articles/CBMinAFBVV95cUxPUDczZmMzcGh0VmlVbnducmFDWkNiamxLVDdCT29PQXVGSkRDeFN4MGFNbzJFNHo4UlZ6Qjk1bUFXaXJVUDdENXZ4a1ctNWRzcVRiZlE4R19uTXhkNndrc09VaUpfa3R4NkdWM1A2NEdETXdwOUpYeDVLLWF1VHNvNURIUXg0NlRaRVpsTDliNFNjbGlicG9VbWVMaEQ?oc=5</x:v>
      </x:c>
      <x:c r="H80" s="44"/>
      <x:c r="I80" s="42" t="str">
        <x:v>Акционеры Озона утвердили финальные дивиденды за 2025 - БКС Экспресс</x:v>
      </x:c>
    </x:row>
    <x:row r="81">
      <x:c r="A81" s="42" t="str">
        <x:v>DL-38b5154e2b53df8c</x:v>
      </x:c>
      <x:c r="B81" s="44" t="n">
        <x:v>46157</x:v>
      </x:c>
      <x:c r="C81" s="42" t="str">
        <x:v>Ozon</x:v>
      </x:c>
      <x:c r="D81" s="42" t="str">
        <x:v>Финам</x:v>
      </x:c>
      <x:c r="E81" s="42" t="str">
        <x:v>public_web</x:v>
      </x:c>
      <x:c r="F81" s="42" t="str">
        <x:v>unverified</x:v>
      </x:c>
      <x:c r="G81" s="42" t="str">
        <x:v>https://www.finam.ru/publications/item/otchetnosti-zaymera-bsp-i-sovkombanka-dividendnyy-vopros-u-ozona-i-md-medikal-osnovnye-sobytiya-15-maya-20260515-0900/</x:v>
      </x:c>
      <x:c r="H81" s="44" t="n">
        <x:v>46157</x:v>
      </x:c>
      <x:c r="I81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82">
      <x:c r="A82" s="42" t="str">
        <x:v>DL-38b5154e2b53df8c</x:v>
      </x:c>
      <x:c r="B82" s="44" t="n">
        <x:v>46157</x:v>
      </x:c>
      <x:c r="C82" s="42" t="str">
        <x:v>Ozon</x:v>
      </x:c>
      <x:c r="D82" s="42" t="str">
        <x:v>Финам</x:v>
      </x:c>
      <x:c r="E82" s="42" t="str">
        <x:v>archive_discovery</x:v>
      </x:c>
      <x:c r="F82" s="42" t="str">
        <x:v>unverified</x:v>
      </x:c>
      <x:c r="G82" s="42" t="str">
        <x:v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H82" s="44"/>
      <x:c r="I82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83">
      <x:c r="A83" s="42" t="str">
        <x:v>DL-32f044efd41bc454</x:v>
      </x:c>
      <x:c r="B83" s="44" t="n">
        <x:v>46157</x:v>
      </x:c>
      <x:c r="C83" s="42" t="str">
        <x:v>Not disclosed</x:v>
      </x:c>
      <x:c r="D83" s="42" t="str">
        <x:v>Интерфакс</x:v>
      </x:c>
      <x:c r="E83" s="42" t="str">
        <x:v>public_web</x:v>
      </x:c>
      <x:c r="F83" s="42" t="str">
        <x:v>unverified</x:v>
      </x:c>
      <x:c r="G83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H83" s="44" t="n">
        <x:v>46157</x:v>
      </x:c>
      <x:c r="I83" s="42" t="str">
        <x:v>Трамп в I квартале совершал сделки с акциями Nvidia и Boeing - Интерфакс</x:v>
      </x:c>
    </x:row>
    <x:row r="84">
      <x:c r="A84" s="42" t="str">
        <x:v>DL-71608263fecb5e53</x:v>
      </x:c>
      <x:c r="B84" s="44" t="n">
        <x:v>46150</x:v>
      </x:c>
      <x:c r="C84" s="42" t="str">
        <x:v>Делимобиль</x:v>
      </x:c>
      <x:c r="D84" s="42" t="str">
        <x:v>Интерфакс</x:v>
      </x:c>
      <x:c r="E84" s="42" t="str">
        <x:v>public_web</x:v>
      </x:c>
      <x:c r="F84" s="42" t="str">
        <x:v>unverified</x:v>
      </x:c>
      <x:c r="G84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H84" s="44" t="n">
        <x:v>46150</x:v>
      </x:c>
      <x:c r="I84" s="42" t="str">
        <x:v>"Делимобиль" перечислил в НРД средства для погашения выпуска облигаций на 1,9 млрд рублей - Интерфакс</x:v>
      </x:c>
    </x:row>
    <x:row r="85">
      <x:c r="A85" s="42" t="str">
        <x:v>DL-2848bdd8b067faa2</x:v>
      </x:c>
      <x:c r="B85" s="44" t="n">
        <x:v>46147</x:v>
      </x:c>
      <x:c r="C85" s="42" t="str">
        <x:v>Yandex</x:v>
      </x:c>
      <x:c r="D85" s="42" t="str">
        <x:v>БКС Экспресс</x:v>
      </x:c>
      <x:c r="E85" s="42" t="str">
        <x:v>public_web</x:v>
      </x:c>
      <x:c r="F85" s="42" t="str">
        <x:v>unverified</x:v>
      </x:c>
      <x:c r="G85" s="42" t="str">
        <x:v>https://bcs-express.ru/novosti-i-analitika/iandeks-odobril-vykup-aktsii-na-50-mlrd-rublei</x:v>
      </x:c>
      <x:c r="H85" s="44" t="n">
        <x:v>46147</x:v>
      </x:c>
      <x:c r="I85" s="42" t="str">
        <x:v>Яндекс одобрил выкуп акций на 50 млрд рублей - БКС Экспресс</x:v>
      </x:c>
    </x:row>
    <x:row r="86">
      <x:c r="A86" s="42" t="str">
        <x:v>DL-2848bdd8b067faa2</x:v>
      </x:c>
      <x:c r="B86" s="44" t="n">
        <x:v>46147</x:v>
      </x:c>
      <x:c r="C86" s="42" t="str">
        <x:v>Yandex</x:v>
      </x:c>
      <x:c r="D86" s="42" t="str">
        <x:v>БКС Экспресс</x:v>
      </x:c>
      <x:c r="E86" s="42" t="str">
        <x:v>archive_discovery</x:v>
      </x:c>
      <x:c r="F86" s="42" t="str">
        <x:v>unverified</x:v>
      </x:c>
      <x:c r="G86" s="42" t="str">
        <x:v>https://news.google.com/rss/articles/CBMikwFBVV95cUxPbkRNMVpoTFN4cXlrOWRya3A4SW1Dd09IUHIzMUw3emMzY1hZckpPRWtMclI2aTllZTRQTlRwUmNGNVp4X1hPV041elJSWGhtVS1kM0VGMFpWdmZIcDRmTS04MjBSb3FoVG5xZWdhY0REZkxLMTMxTE1PeF92VW5SRkxDYVNrVGVuNVFTSlRfaFFFeWc?oc=5</x:v>
      </x:c>
      <x:c r="H86" s="44"/>
      <x:c r="I86" s="42" t="str">
        <x:v>Яндекс одобрил выкуп акций на 50 млрд рублей - БКС Экспресс</x:v>
      </x:c>
    </x:row>
    <x:row r="87">
      <x:c r="A87" s="42" t="str">
        <x:v>DL-3d4a31cc3b7936d0</x:v>
      </x:c>
      <x:c r="B87" s="44" t="n">
        <x:v>46146</x:v>
      </x:c>
      <x:c r="C87" s="42" t="str">
        <x:v>Yandex</x:v>
      </x:c>
      <x:c r="D87" s="42" t="str">
        <x:v>SberCIB</x:v>
      </x:c>
      <x:c r="E87" s="42" t="str">
        <x:v>public_web</x:v>
      </x:c>
      <x:c r="F87" s="42" t="str">
        <x:v>unverified</x:v>
      </x:c>
      <x:c r="G87" s="42" t="str">
        <x:v>https://sbercib.ru/publication/rezultati-ozon-dom-rf-dividendi-yandeksa-i-tatnefti-i-drugie-novosti-nedeli</x:v>
      </x:c>
      <x:c r="H87" s="44" t="n">
        <x:v>46146</x:v>
      </x:c>
      <x:c r="I87" s="42" t="str">
        <x:v>Результаты Ozon, ДОМ.</x:v>
      </x:c>
    </x:row>
    <x:row r="88">
      <x:c r="A88" s="42" t="str">
        <x:v>DL-3d4a31cc3b7936d0</x:v>
      </x:c>
      <x:c r="B88" s="44" t="n">
        <x:v>46146</x:v>
      </x:c>
      <x:c r="C88" s="42" t="str">
        <x:v>Yandex</x:v>
      </x:c>
      <x:c r="D88" s="42" t="str">
        <x:v>SberCIB</x:v>
      </x:c>
      <x:c r="E88" s="42" t="str">
        <x:v>archive_discovery</x:v>
      </x:c>
      <x:c r="F88" s="42" t="str">
        <x:v>unverified</x:v>
      </x:c>
      <x:c r="G88" s="42" t="str">
        <x:v>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H88" s="44"/>
      <x:c r="I88" s="42" t="str">
        <x:v>Результаты Ozon, ДОМ.</x:v>
      </x:c>
    </x:row>
    <x:row r="89">
      <x:c r="A89" s="42" t="str">
        <x:v>DL-6bc0569f7ac374fe</x:v>
      </x:c>
      <x:c r="B89" s="44" t="n">
        <x:v>46139</x:v>
      </x:c>
      <x:c r="C89" s="42" t="str">
        <x:v>Not disclosed</x:v>
      </x:c>
      <x:c r="D89" s="42" t="str">
        <x:v>Ведомости</x:v>
      </x:c>
      <x:c r="E89" s="42" t="str">
        <x:v>public_web</x:v>
      </x:c>
      <x:c r="F89" s="42" t="str">
        <x:v>unverified</x:v>
      </x:c>
      <x:c r="G89" s="42" t="str">
        <x:v>https://www.vedomosti.ru/finance/news/2026/04/27/1193355-putin-isklyuchil</x:v>
      </x:c>
      <x:c r="H89" s="44" t="n">
        <x:v>46139</x:v>
      </x:c>
      <x:c r="I89" s="42" t="str">
        <x:v>Путин исключил «Озон банк» из списка с запретом на сделки с акциями и долями - Ведомости</x:v>
      </x:c>
    </x:row>
    <x:row r="90">
      <x:c r="A90" s="42" t="str">
        <x:v>DL-6bc0569f7ac374fe</x:v>
      </x:c>
      <x:c r="B90" s="44" t="n">
        <x:v>46139</x:v>
      </x:c>
      <x:c r="C90" s="42" t="str">
        <x:v>Not disclosed</x:v>
      </x:c>
      <x:c r="D90" s="42" t="str">
        <x:v>Ведомости</x:v>
      </x:c>
      <x:c r="E90" s="42" t="str">
        <x:v>archive_discovery</x:v>
      </x:c>
      <x:c r="F90" s="42" t="str">
        <x:v>unverified</x:v>
      </x:c>
      <x:c r="G90" s="42" t="str">
        <x:v>https://news.google.com/rss/articles/CBMifkFVX3lxTE5wcVN1bk9QeWE3N3kxMkdGdndraERVOGhyUndZcTkwSVVWdlhXUkVldXUtRWR5QTlCR3owOHN1QzFPZVVDR0JWMGkweTM2ekRobml3MzJqT3ZyTGFCSTZtTk0yZ3FxOG52ZjA3c203bEJ4UGVIN18xQUJxenBLQQ?oc=5</x:v>
      </x:c>
      <x:c r="H90" s="44"/>
      <x:c r="I90" s="42" t="str">
        <x:v>Путин исключил «Озон банк» из списка с запретом на сделки с акциями и долями - Ведомости</x:v>
      </x:c>
    </x:row>
    <x:row r="91">
      <x:c r="A91" s="42" t="str">
        <x:v>DL-cc671fa6b14f8f28</x:v>
      </x:c>
      <x:c r="B91" s="44" t="n">
        <x:v>46139</x:v>
      </x:c>
      <x:c r="C91" s="42" t="str">
        <x:v>Not disclosed</x:v>
      </x:c>
      <x:c r="D91" s="42" t="str">
        <x:v>БКС Экспресс</x:v>
      </x:c>
      <x:c r="E91" s="42" t="str">
        <x:v>public_web</x:v>
      </x:c>
      <x:c r="F91" s="42" t="str">
        <x:v>unverified</x:v>
      </x:c>
      <x:c r="G91" s="42" t="str">
        <x:v>https://bcs-express.ru/novosti-i-analitika/ozon-bank-iskliuchen-iz-perechnia-bankov-s-aktsiiami-kotorykh-zapreshcheny-sdelki</x:v>
      </x:c>
      <x:c r="H91" s="44" t="n">
        <x:v>46139</x:v>
      </x:c>
      <x:c r="I91" s="42" t="str">
        <x:v>Ozon Банк исключен из перечня банков, с акциями которых запрещены сделки - БКС Экспресс</x:v>
      </x:c>
    </x:row>
    <x:row r="92">
      <x:c r="A92" s="42" t="str">
        <x:v>DL-cc671fa6b14f8f28</x:v>
      </x:c>
      <x:c r="B92" s="44" t="n">
        <x:v>46139</x:v>
      </x:c>
      <x:c r="C92" s="42" t="str">
        <x:v>Not disclosed</x:v>
      </x:c>
      <x:c r="D92" s="42" t="str">
        <x:v>БКС Экспресс</x:v>
      </x:c>
      <x:c r="E92" s="42" t="str">
        <x:v>archive_discovery</x:v>
      </x:c>
      <x:c r="F92" s="42" t="str">
        <x:v>unverified</x:v>
      </x:c>
      <x:c r="G92" s="42" t="str">
        <x:v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H92" s="44"/>
      <x:c r="I92" s="42" t="str">
        <x:v>Ozon Банк исключен из перечня банков, с акциями которых запрещены сделки - БКС Экспресс</x:v>
      </x:c>
    </x:row>
    <x:row r="93">
      <x:c r="A93" s="42" t="str">
        <x:v>DL-2d1ef3023240f32a</x:v>
      </x:c>
      <x:c r="B93" s="44" t="n">
        <x:v>46139</x:v>
      </x:c>
      <x:c r="C93" s="42" t="str">
        <x:v>Not disclosed</x:v>
      </x:c>
      <x:c r="D93" s="42" t="str">
        <x:v>Главпортал</x:v>
      </x:c>
      <x:c r="E93" s="42" t="str">
        <x:v>public_web</x:v>
      </x:c>
      <x:c r="F93" s="42" t="str">
        <x:v>unverified</x:v>
      </x:c>
      <x:c r="G93" s="42" t="str">
        <x:v>https://glavportal.com/news/putin-razreshil-sdelki-s-akciyami-ozon-banka</x:v>
      </x:c>
      <x:c r="H93" s="44" t="n">
        <x:v>46139</x:v>
      </x:c>
      <x:c r="I93" s="42" t="str">
        <x:v>Путин разрешил сделки с акциями «Озон банка» - Главпортал</x:v>
      </x:c>
    </x:row>
    <x:row r="94">
      <x:c r="A94" s="42" t="str">
        <x:v>DL-2d1ef3023240f32a</x:v>
      </x:c>
      <x:c r="B94" s="44" t="n">
        <x:v>46139</x:v>
      </x:c>
      <x:c r="C94" s="42" t="str">
        <x:v>Not disclosed</x:v>
      </x:c>
      <x:c r="D94" s="42" t="str">
        <x:v>InvestFuture</x:v>
      </x:c>
      <x:c r="E94" s="42" t="str">
        <x:v>public_web</x:v>
      </x:c>
      <x:c r="F94" s="42" t="str">
        <x:v>unverified</x:v>
      </x:c>
      <x:c r="G94" s="42" t="str">
        <x:v>https://investfuture.ru/articles/putin-snyal-zapret-na-sdelki-s-aktsiyami-ozon-banka-v-rossii-1178931397</x:v>
      </x:c>
      <x:c r="H94" s="44" t="n">
        <x:v>46139</x:v>
      </x:c>
      <x:c r="I94" s="42" t="str">
        <x:v>Путин разрешил сделки с акциями «Озон банка» - Главпортал</x:v>
      </x:c>
    </x:row>
    <x:row r="95">
      <x:c r="A95" s="42" t="str">
        <x:v>DL-2d1ef3023240f32a</x:v>
      </x:c>
      <x:c r="B95" s="44" t="n">
        <x:v>46139</x:v>
      </x:c>
      <x:c r="C95" s="42" t="str">
        <x:v>Not disclosed</x:v>
      </x:c>
      <x:c r="D95" s="42" t="str">
        <x:v>InvestFuture</x:v>
      </x:c>
      <x:c r="E95" s="42" t="str">
        <x:v>archive_discovery</x:v>
      </x:c>
      <x:c r="F95" s="42" t="str">
        <x:v>unverified</x:v>
      </x:c>
      <x:c r="G95" s="42" t="str">
        <x:v>https://news.google.com/rss/articles/CBMipwFBVV95cUxQcU81OEdseHRmbS1zNlgwaDB4VWRLbVp1eGRLdTZ0R0RZOXpvRU1uRmE0MHRVVFlrNHFobW1mQlJleE1ZOFRaWjB3WWoyVldwR1dMRlM1Z2l5MUZiQnNsX0JJdXZRLUFrV2cxVS04ZmtfNUNtaVR3M21XbGw5N0I5ZWxqOHktNnJyZ1ZuMGc5UTZMc2cxOU5OU0VQUkJVVjFTenhmLVdlQQ?oc=5</x:v>
      </x:c>
      <x:c r="H95" s="44"/>
      <x:c r="I95" s="42" t="str">
        <x:v>Путин разрешил сделки с акциями «Озон банка» - Главпортал</x:v>
      </x:c>
    </x:row>
    <x:row r="96">
      <x:c r="A96" s="42" t="str">
        <x:v>DL-2d1ef3023240f32a</x:v>
      </x:c>
      <x:c r="B96" s="44" t="n">
        <x:v>46139</x:v>
      </x:c>
      <x:c r="C96" s="42" t="str">
        <x:v>Not disclosed</x:v>
      </x:c>
      <x:c r="D96" s="42" t="str">
        <x:v>Главпортал</x:v>
      </x:c>
      <x:c r="E96" s="42" t="str">
        <x:v>archive_discovery</x:v>
      </x:c>
      <x:c r="F96" s="42" t="str">
        <x:v>unverified</x:v>
      </x:c>
      <x:c r="G96" s="42" t="str">
        <x:v>https://news.google.com/rss/articles/CBMifEFVX3lxTE5vODZHWnJJX1RoLWU3X2RfSGpCZFZrN2xZeGtyOVVzSENxQzlaQTEwV3pCNXBuOG9JRnVfTkdxOGl5N3RJTGhDVVh0YXdBbTY5dnlZYWRjVkJ5MTFROHhTQUVvdjEwS3BpYUtmSG12YmVocnBnVmVpVmN0ZzQ?oc=5</x:v>
      </x:c>
      <x:c r="H96" s="44"/>
      <x:c r="I96" s="42" t="str">
        <x:v>Путин разрешил сделки с акциями «Озон банка» - Главпортал</x:v>
      </x:c>
    </x:row>
    <x:row r="97">
      <x:c r="A97" s="42" t="str">
        <x:v>DL-dd21f961f579e55a</x:v>
      </x:c>
      <x:c r="B97" s="44" t="n">
        <x:v>46139</x:v>
      </x:c>
      <x:c r="C97" s="42" t="str">
        <x:v>Not disclosed</x:v>
      </x:c>
      <x:c r="D97" s="42" t="str">
        <x:v>Реальное время</x:v>
      </x:c>
      <x:c r="E97" s="42" t="str">
        <x:v>public_web</x:v>
      </x:c>
      <x:c r="F97" s="42" t="str">
        <x:v>unverified</x:v>
      </x:c>
      <x:c r="G97" s="42" t="str">
        <x:v>https://realnoevremya.ru/news/394463-s-ozon-banka-snyali-ogranicheniya-na-sdelki-s-akciyami-rasporyazhenie-putina</x:v>
      </x:c>
      <x:c r="H97" s="44" t="n">
        <x:v>46139</x:v>
      </x:c>
      <x:c r="I97" s="42" t="str">
        <x:v>С «Озон банка» сняли ограничения на сделки с акциями — распоряжение Путина - Реальное время</x:v>
      </x:c>
    </x:row>
    <x:row r="98">
      <x:c r="A98" s="42" t="str">
        <x:v>DL-dd21f961f579e55a</x:v>
      </x:c>
      <x:c r="B98" s="44" t="n">
        <x:v>46139</x:v>
      </x:c>
      <x:c r="C98" s="42" t="str">
        <x:v>Not disclosed</x:v>
      </x:c>
      <x:c r="D98" s="42" t="str">
        <x:v>Реальное время</x:v>
      </x:c>
      <x:c r="E98" s="42" t="str">
        <x:v>archive_discovery</x:v>
      </x:c>
      <x:c r="F98" s="42" t="str">
        <x:v>unverified</x:v>
      </x:c>
      <x:c r="G98" s="42" t="str">
        <x:v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x:v>
      </x:c>
      <x:c r="H98" s="44"/>
      <x:c r="I98" s="42" t="str">
        <x:v>С «Озон банка» сняли ограничения на сделки с акциями — распоряжение Путина - Реальное время</x:v>
      </x:c>
    </x:row>
    <x:row r="99">
      <x:c r="A99" s="42" t="str">
        <x:v>DL-276fe11e133d5a4b</x:v>
      </x:c>
      <x:c r="B99" s="44" t="n">
        <x:v>46139</x:v>
      </x:c>
      <x:c r="C99" s="42" t="str">
        <x:v>Not disclosed</x:v>
      </x:c>
      <x:c r="D99" s="42" t="str">
        <x:v>Банковское обозрение</x:v>
      </x:c>
      <x:c r="E99" s="42" t="str">
        <x:v>public_web</x:v>
      </x:c>
      <x:c r="F99" s="42" t="str">
        <x:v>unverified</x:v>
      </x:c>
      <x:c r="G99" s="42" t="str">
        <x:v>https://bosfera.ru/press-release/ozon-bank-isklyuchen-iz-spiska-s-zapretom-na-sdelki-s-akciyami-i-dolyami</x:v>
      </x:c>
      <x:c r="H99" s="44" t="n">
        <x:v>46139</x:v>
      </x:c>
      <x:c r="I99" s="42" t="str">
        <x:v>Ozon Банк исключен из списка с запретом на сделки с акциями и долями - Банковское обозрение</x:v>
      </x:c>
    </x:row>
    <x:row r="100">
      <x:c r="A100" s="42" t="str">
        <x:v>DL-276fe11e133d5a4b</x:v>
      </x:c>
      <x:c r="B100" s="44" t="n">
        <x:v>46139</x:v>
      </x:c>
      <x:c r="C100" s="42" t="str">
        <x:v>Not disclosed</x:v>
      </x:c>
      <x:c r="D100" s="42" t="str">
        <x:v>Банковское обозрение</x:v>
      </x:c>
      <x:c r="E100" s="42" t="str">
        <x:v>archive_discovery</x:v>
      </x:c>
      <x:c r="F100" s="42" t="str">
        <x:v>unverified</x:v>
      </x:c>
      <x:c r="G100" s="42" t="str">
        <x:v>https://news.google.com/rss/articles/CBMiqAFBVV95cUxNQXVhQ2RuZ0lNVWJmM3gwUmY4bzllcHBVWUZWQXlGT0s1MndodXlWMGlIRXNGbFFCQ3VPMmZPeG9ZMnphS19pcDAzdzMybEkzNEdOaEE0SGY2d3F4dzBmMWw0QUtmaUtpS2tqejhtSER5MlByWC03VDdrSTFwM3U4ZFFiYjVWZTE1VTdfZlVfS3YyV0VnYmZpaURwYVRiZmdTMnhjRDVsTTQ?oc=5</x:v>
      </x:c>
      <x:c r="H100" s="44"/>
      <x:c r="I100" s="42" t="str">
        <x:v>Ozon Банк исключен из списка с запретом на сделки с акциями и долями - Банковское обозрение</x:v>
      </x:c>
    </x:row>
    <x:row r="101">
      <x:c r="A101" s="42" t="str">
        <x:v>DL-0bceebeca9933dc3</x:v>
      </x:c>
      <x:c r="B101" s="44" t="n">
        <x:v>46132</x:v>
      </x:c>
      <x:c r="C101" s="42" t="str">
        <x:v>Ozon</x:v>
      </x:c>
      <x:c r="D101" s="42" t="str">
        <x:v>Альфа-Банк</x:v>
      </x:c>
      <x:c r="E101" s="42" t="str">
        <x:v>public_web</x:v>
      </x:c>
      <x:c r="F101" s="42" t="str">
        <x:v>unverified</x:v>
      </x:c>
      <x:c r="G101" s="42" t="str">
        <x:v>https://alfabank.ru/alfa-investor/t/obligatsii-ozona-zarabotay-na-marketpleyse/</x:v>
      </x:c>
      <x:c r="H101" s="44" t="n">
        <x:v>46132</x:v>
      </x:c>
      <x:c r="I101" s="42" t="str">
        <x:v>Облигации Озона: заработай на маркетплейсе - Альфа-Банк</x:v>
      </x:c>
    </x:row>
    <x:row r="102">
      <x:c r="A102" s="42" t="str">
        <x:v>DL-0bceebeca9933dc3</x:v>
      </x:c>
      <x:c r="B102" s="44" t="n">
        <x:v>46132</x:v>
      </x:c>
      <x:c r="C102" s="42" t="str">
        <x:v>Ozon</x:v>
      </x:c>
      <x:c r="D102" s="42" t="str">
        <x:v>Альфа-Банк</x:v>
      </x:c>
      <x:c r="E102" s="42" t="str">
        <x:v>archive_discovery</x:v>
      </x:c>
      <x:c r="F102" s="42" t="str">
        <x:v>unverified</x:v>
      </x:c>
      <x:c r="G102" s="42" t="str">
        <x:v>https://news.google.com/rss/articles/CBMihgFBVV95cUxOR21Vd1RCOGpSRktSR2g3Mm11emdNTHVpLTlESXFfUVc5SFZFYkZYTWcwZ1kxc2ZUU1lPVWo3UmRjQXl4SFREaElpVTZvZktVMW43QXhNU2ZHal9hSHQ0bkttRV8xa1BVbHRHSENoSE5GblYwZElISUxNbG1fSG1uWUJ0QVgtZw?oc=5</x:v>
      </x:c>
      <x:c r="H102" s="44"/>
      <x:c r="I102" s="42" t="str">
        <x:v>Облигации Озона: заработай на маркетплейсе - Альфа-Банк</x:v>
      </x:c>
    </x:row>
    <x:row r="103">
      <x:c r="A103" s="42" t="str">
        <x:v>DL-e65aa610a439e531</x:v>
      </x:c>
      <x:c r="B103" s="44" t="n">
        <x:v>46132</x:v>
      </x:c>
      <x:c r="C103" s="42" t="str">
        <x:v>Yandex</x:v>
      </x:c>
      <x:c r="D103" s="42" t="str">
        <x:v>https://expert.ru</x:v>
      </x:c>
      <x:c r="E103" s="42" t="str">
        <x:v>public_web</x:v>
      </x:c>
      <x:c r="F103" s="42" t="str">
        <x:v>unverified</x:v>
      </x:c>
      <x:c r="G103" s="42" t="str">
        <x:v>https://expert.ru/news/aktsionery-yandeksa-utverdili-dividendy-za-2025-god-v-razmere-110-rubley</x:v>
      </x:c>
      <x:c r="H103" s="44" t="n">
        <x:v>46132</x:v>
      </x:c>
      <x:c r="I103" s="42" t="str">
        <x:v>Акционеры «Яндекса» утвердили дивиденды за 2025 год в размере 110 рублей - https://expert.ru</x:v>
      </x:c>
    </x:row>
    <x:row r="104">
      <x:c r="A104" s="42" t="str">
        <x:v>DL-e65aa610a439e531</x:v>
      </x:c>
      <x:c r="B104" s="44" t="n">
        <x:v>46132</x:v>
      </x:c>
      <x:c r="C104" s="42" t="str">
        <x:v>Yandex</x:v>
      </x:c>
      <x:c r="D104" s="42" t="str">
        <x:v>https://expert.ru</x:v>
      </x:c>
      <x:c r="E104" s="42" t="str">
        <x:v>archive_discovery</x:v>
      </x:c>
      <x:c r="F104" s="42" t="str">
        <x:v>unverified</x:v>
      </x:c>
      <x:c r="G104" s="42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04" s="44"/>
      <x:c r="I104" s="42" t="str">
        <x:v>Акционеры «Яндекса» утвердили дивиденды за 2025 год в размере 110 рублей - https://expert.ru</x:v>
      </x:c>
    </x:row>
    <x:row r="105">
      <x:c r="A105" s="42" t="str">
        <x:v>DL-e65aa610a439e531</x:v>
      </x:c>
      <x:c r="B105" s="44" t="n">
        <x:v>46132</x:v>
      </x:c>
      <x:c r="C105" s="42" t="str">
        <x:v>Yandex</x:v>
      </x:c>
      <x:c r="D105" s="42" t="str">
        <x:v>Эксперт</x:v>
      </x:c>
      <x:c r="E105" s="42" t="str">
        <x:v>archive_discovery</x:v>
      </x:c>
      <x:c r="F105" s="42" t="str">
        <x:v>unverified</x:v>
      </x:c>
      <x:c r="G105" s="42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05" s="44"/>
      <x:c r="I105" s="42" t="str">
        <x:v>Акционеры «Яндекса» утвердили дивиденды за 2025 год в размере 110 рублей - https://expert.ru</x:v>
      </x:c>
    </x:row>
    <x:row r="106">
      <x:c r="A106" s="42" t="str">
        <x:v>DL-0e547964381c1356</x:v>
      </x:c>
      <x:c r="B106" s="44" t="n">
        <x:v>46132</x:v>
      </x:c>
      <x:c r="C106" s="42" t="str">
        <x:v>Yandex</x:v>
      </x:c>
      <x:c r="D106" s="42" t="str">
        <x:v>RB.RU</x:v>
      </x:c>
      <x:c r="E106" s="42" t="str">
        <x:v>public_web</x:v>
      </x:c>
      <x:c r="F106" s="42" t="str">
        <x:v>unverified</x:v>
      </x:c>
      <x:c r="G106" s="42" t="str">
        <x:v>https://rb.ru/news/yandeks-odobril-dividendy-po-itogam-2025-go-vyplaty-sostavyat-110-za-akciyu-pochti-na-40-vyshe-chem-v-proshlom-godu/</x:v>
      </x:c>
      <x:c r="H106" s="44" t="n">
        <x:v>46132</x:v>
      </x:c>
      <x:c r="I106" s="42" t="str">
        <x:v>Яндекс утвердил дивиденды по итогам 2025 года — выплаты составят 110 ₽ за акцию - RB.RU</x:v>
      </x:c>
    </x:row>
    <x:row r="107">
      <x:c r="A107" s="42" t="str">
        <x:v>DL-0e547964381c1356</x:v>
      </x:c>
      <x:c r="B107" s="44" t="n">
        <x:v>46132</x:v>
      </x:c>
      <x:c r="C107" s="42" t="str">
        <x:v>Yandex</x:v>
      </x:c>
      <x:c r="D107" s="42" t="str">
        <x:v>RB.RU</x:v>
      </x:c>
      <x:c r="E107" s="42" t="str">
        <x:v>archive_discovery</x:v>
      </x:c>
      <x:c r="F107" s="42" t="str">
        <x:v>unverified</x:v>
      </x:c>
      <x:c r="G107" s="42" t="str">
        <x:v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x:v>
      </x:c>
      <x:c r="H107" s="44"/>
      <x:c r="I107" s="42" t="str">
        <x:v>Яндекс утвердил дивиденды по итогам 2025 года — выплаты составят 110 ₽ за акцию - RB.RU</x:v>
      </x:c>
    </x:row>
    <x:row r="108">
      <x:c r="A108" s="42" t="str">
        <x:v>DL-c10daba8af8e67d8</x:v>
      </x:c>
      <x:c r="B108" s="44" t="n">
        <x:v>46128</x:v>
      </x:c>
      <x:c r="C108" s="42" t="str">
        <x:v>Точка Банка</x:v>
      </x:c>
      <x:c r="D108" s="42" t="str">
        <x:v>RB.RU</x:v>
      </x:c>
      <x:c r="E108" s="42" t="str">
        <x:v>public_web</x:v>
      </x:c>
      <x:c r="F108" s="42" t="str">
        <x:v>unverified</x:v>
      </x:c>
      <x:c r="G108" s="42" t="str">
        <x:v>https://rb.ru/news/vk-prodal-25-akcij-tochka-banka-sdelku-ocenili-v-212-mlrd-vdvoe-vyshe-iznachalnoj-stoimosti-bumag/</x:v>
      </x:c>
      <x:c r="H108" s="44" t="n">
        <x:v>46128</x:v>
      </x:c>
      <x:c r="I108" s="42" t="str">
        <x:v>VK продал 25% акций Точка Банка: сделку оценили в 21,2 млрд ₽ — вдвое выше изначальной стоимости бумаг - RB.RU</x:v>
      </x:c>
    </x:row>
    <x:row r="109">
      <x:c r="A109" s="42" t="str">
        <x:v>DL-c10daba8af8e67d8</x:v>
      </x:c>
      <x:c r="B109" s="44" t="n">
        <x:v>46128</x:v>
      </x:c>
      <x:c r="C109" s="42" t="str">
        <x:v>Точка Банка</x:v>
      </x:c>
      <x:c r="D109" s="42" t="str">
        <x:v>Ведомости</x:v>
      </x:c>
      <x:c r="E109" s="42" t="str">
        <x:v>public_web</x:v>
      </x:c>
      <x:c r="F109" s="42" t="str">
        <x:v>unverified</x:v>
      </x:c>
      <x:c r="G109" s="42" t="str">
        <x:v>https://www.vedomosti.ru/finance/news/2026/04/16/1190812-vk-prodala-dolyu</x:v>
      </x:c>
      <x:c r="H109" s="44" t="n">
        <x:v>46128</x:v>
      </x:c>
      <x:c r="I109" s="42" t="str">
        <x:v>VK продал 25% акций Точка Банка: сделку оценили в 21,2 млрд ₽ — вдвое выше изначальной стоимости бумаг - RB.RU</x:v>
      </x:c>
    </x:row>
    <x:row r="110">
      <x:c r="A110" s="42" t="str">
        <x:v>DL-c10daba8af8e67d8</x:v>
      </x:c>
      <x:c r="B110" s="44" t="n">
        <x:v>46128</x:v>
      </x:c>
      <x:c r="C110" s="42" t="str">
        <x:v>Точка Банка</x:v>
      </x:c>
      <x:c r="D110" s="42" t="str">
        <x:v>CNews.ru</x:v>
      </x:c>
      <x:c r="E110" s="42" t="str">
        <x:v>public_web</x:v>
      </x:c>
      <x:c r="F110" s="42" t="str">
        <x:v>unverified</x:v>
      </x:c>
      <x:c r="G110" s="42" t="str">
        <x:v>https://www.cnews.ru/news/top/2026-04-16_vk_prodal_svoyu_dolyu_v_virtualnom</x:v>
      </x:c>
      <x:c r="H110" s="44" t="n">
        <x:v>46128</x:v>
      </x:c>
      <x:c r="I110" s="42" t="str">
        <x:v>VK продал 25% акций Точка Банка: сделку оценили в 21,2 млрд ₽ — вдвое выше изначальной стоимости бумаг - RB.RU</x:v>
      </x:c>
    </x:row>
    <x:row r="111">
      <x:c r="A111" s="42" t="str">
        <x:v>DL-c10daba8af8e67d8</x:v>
      </x:c>
      <x:c r="B111" s="44" t="n">
        <x:v>46128</x:v>
      </x:c>
      <x:c r="C111" s="42" t="str">
        <x:v>Точка Банка</x:v>
      </x:c>
      <x:c r="D111" s="42" t="str">
        <x:v>RB.RU</x:v>
      </x:c>
      <x:c r="E111" s="42" t="str">
        <x:v>archive_discovery</x:v>
      </x:c>
      <x:c r="F111" s="42" t="str">
        <x:v>unverified</x:v>
      </x:c>
      <x:c r="G111" s="42" t="str">
        <x:v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H111" s="44"/>
      <x:c r="I111" s="42" t="str">
        <x:v>VK продал 25% акций Точка Банка: сделку оценили в 21,2 млрд ₽ — вдвое выше изначальной стоимости бумаг - RB.RU</x:v>
      </x:c>
    </x:row>
    <x:row r="112">
      <x:c r="A112" s="42" t="str">
        <x:v>DL-c10daba8af8e67d8</x:v>
      </x:c>
      <x:c r="B112" s="44" t="n">
        <x:v>46128</x:v>
      </x:c>
      <x:c r="C112" s="42" t="str">
        <x:v>Точка Банка</x:v>
      </x:c>
      <x:c r="D112" s="42" t="str">
        <x:v>Ведомости</x:v>
      </x:c>
      <x:c r="E112" s="42" t="str">
        <x:v>archive_discovery</x:v>
      </x:c>
      <x:c r="F112" s="42" t="str">
        <x:v>unverified</x:v>
      </x:c>
      <x:c r="G112" s="42" t="str">
        <x:v>https://news.google.com/rss/articles/CBMifkFVX3lxTE1vSUlEOTl2cU5jckxzemNzN2oyNVZaX203N1VWRkpuZXNwYV9sdUNGMTZPTHhiNm5LWFBmdFM0QkFTRjFPczd4VEFlTEZpRzhiakF2ZGh5UU5kamRvbnFRTDE5dG8zOF9HRkk5MDUwVzBWbU9qWEN0MDhIdTJNUQ?oc=5</x:v>
      </x:c>
      <x:c r="H112" s="44"/>
      <x:c r="I112" s="42" t="str">
        <x:v>VK продал 25% акций Точка Банка: сделку оценили в 21,2 млрд ₽ — вдвое выше изначальной стоимости бумаг - RB.RU</x:v>
      </x:c>
    </x:row>
    <x:row r="113">
      <x:c r="A113" s="42" t="str">
        <x:v>DL-c10daba8af8e67d8</x:v>
      </x:c>
      <x:c r="B113" s="44" t="n">
        <x:v>46128</x:v>
      </x:c>
      <x:c r="C113" s="42" t="str">
        <x:v>Точка Банка</x:v>
      </x:c>
      <x:c r="D113" s="42" t="str">
        <x:v>CNews.ru</x:v>
      </x:c>
      <x:c r="E113" s="42" t="str">
        <x:v>archive_discovery</x:v>
      </x:c>
      <x:c r="F113" s="42" t="str">
        <x:v>unverified</x:v>
      </x:c>
      <x:c r="G113" s="42" t="str">
        <x:v>https://news.google.com/rss/articles/CBMigAFBVV95cUxOeU1NOHJNay1uUm9TdlpGcWh4YkNXN3J0clFCT2JrM0t5T3hwTmtTRlJXUWpyeVBYbnltZlB0dnpqLWxhTUxQNW9wQU1LeG5sTjVzT1NNQlFlY0Jpb1REMGhyWG1wSUM0STZXbFFaNndzQ1A1MlVvMFN3RmlmOW4tXw?oc=5</x:v>
      </x:c>
      <x:c r="H113" s="44"/>
      <x:c r="I113" s="42" t="str">
        <x:v>VK продал 25% акций Точка Банка: сделку оценили в 21,2 млрд ₽ — вдвое выше изначальной стоимости бумаг - RB.RU</x:v>
      </x:c>
    </x:row>
    <x:row r="114">
      <x:c r="A114" s="42" t="str">
        <x:v>DL-4774de17c61c14e4</x:v>
      </x:c>
      <x:c r="B114" s="44" t="n">
        <x:v>46122</x:v>
      </x:c>
      <x:c r="C114" s="42" t="str">
        <x:v>VK</x:v>
      </x:c>
      <x:c r="D114" s="42" t="str">
        <x:v>Финам</x:v>
      </x:c>
      <x:c r="E114" s="42" t="str">
        <x:v>public_web</x:v>
      </x:c>
      <x:c r="F114" s="42" t="str">
        <x:v>unverified</x:v>
      </x:c>
      <x:c r="G114" s="42" t="str">
        <x:v>https://www.finam.ru/publications/item/dvoynoe-razmeshchenie-obligatsiy-vk-chego-zhdat-chastnym-investoram-20260410-1829/</x:v>
      </x:c>
      <x:c r="H114" s="44" t="n">
        <x:v>46122</x:v>
      </x:c>
      <x:c r="I114" s="42" t="str">
        <x:v>Двойное размещение облигаций VK.</x:v>
      </x:c>
    </x:row>
    <x:row r="115">
      <x:c r="A115" s="42" t="str">
        <x:v>DL-4774de17c61c14e4</x:v>
      </x:c>
      <x:c r="B115" s="44" t="n">
        <x:v>46122</x:v>
      </x:c>
      <x:c r="C115" s="42" t="str">
        <x:v>VK</x:v>
      </x:c>
      <x:c r="D115" s="42" t="str">
        <x:v>Финам</x:v>
      </x:c>
      <x:c r="E115" s="42" t="str">
        <x:v>archive_discovery</x:v>
      </x:c>
      <x:c r="F115" s="42" t="str">
        <x:v>unverified</x:v>
      </x:c>
      <x:c r="G115" s="42" t="str">
        <x:v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x:v>
      </x:c>
      <x:c r="H115" s="44"/>
      <x:c r="I115" s="42" t="str">
        <x:v>Двойное размещение облигаций VK.</x:v>
      </x:c>
    </x:row>
    <x:row r="116">
      <x:c r="A116" s="42" t="str">
        <x:v>DL-87f81143148d7276</x:v>
      </x:c>
      <x:c r="B116" s="44" t="n">
        <x:v>46122</x:v>
      </x:c>
      <x:c r="C116" s="42" t="str">
        <x:v>Ozon</x:v>
      </x:c>
      <x:c r="D116" s="42" t="str">
        <x:v>Альфа-Банк</x:v>
      </x:c>
      <x:c r="E116" s="42" t="str">
        <x:v>public_web</x:v>
      </x:c>
      <x:c r="F116" s="42" t="str">
        <x:v>unverified</x:v>
      </x:c>
      <x:c r="G116" s="42" t="str">
        <x:v>https://alfabank.ru/alfa-investor/posts/t/1238104e-fa34-f111-91c8-0050569ebac3/</x:v>
      </x:c>
      <x:c r="H116" s="44" t="n">
        <x:v>46122</x:v>
      </x:c>
      <x:c r="I116" s="42" t="str">
        <x:v>Мы держим Ozon в портфеле роста, но не в дивидендном Хотя - Альфа-Банк</x:v>
      </x:c>
    </x:row>
    <x:row r="117">
      <x:c r="A117" s="42" t="str">
        <x:v>DL-87f81143148d7276</x:v>
      </x:c>
      <x:c r="B117" s="44" t="n">
        <x:v>46122</x:v>
      </x:c>
      <x:c r="C117" s="42" t="str">
        <x:v>Ozon</x:v>
      </x:c>
      <x:c r="D117" s="42" t="str">
        <x:v>Альфа-Банк</x:v>
      </x:c>
      <x:c r="E117" s="42" t="str">
        <x:v>archive_discovery</x:v>
      </x:c>
      <x:c r="F117" s="42" t="str">
        <x:v>unverified</x:v>
      </x:c>
      <x:c r="G117" s="42" t="str">
        <x:v>https://news.google.com/rss/articles/CBMihgFBVV95cUxNbVZjUURpZDgxcTE2VG9jRktkMVZHRmpqSG9jclBJZU45SVNzS3VLTUFyYkhnUWdpQl9pb1Jvd1p5Ni12Z1pFQWlKeDQtUDUxY0xCSVA0dno3ZjJzWnZkS3RLVWh3UjNGWVJXd29rbjFBUjdVUnZwa1RGdk9hQTIxMHBCRzFPdw?oc=5</x:v>
      </x:c>
      <x:c r="H117" s="44"/>
      <x:c r="I117" s="42" t="str">
        <x:v>Мы держим Ozon в портфеле роста, но не в дивидендном Хотя - Альфа-Банк</x:v>
      </x:c>
    </x:row>
    <x:row r="118">
      <x:c r="A118" s="42" t="str">
        <x:v>DL-1363a495ec14164a</x:v>
      </x:c>
      <x:c r="B118" s="44" t="n">
        <x:v>46115</x:v>
      </x:c>
      <x:c r="C118" s="42" t="str">
        <x:v>Ozon</x:v>
      </x:c>
      <x:c r="D118" s="42" t="str">
        <x:v>https://expert.ru</x:v>
      </x:c>
      <x:c r="E118" s="42" t="str">
        <x:v>public_web</x:v>
      </x:c>
      <x:c r="F118" s="42" t="str">
        <x:v>unverified</x:v>
      </x:c>
      <x:c r="G118" s="42" t="str">
        <x:v>https://expert.ru/news/ozon-anonsiroval-razmeshchenie-obligatsiy-na-15-mlrd-rubley</x:v>
      </x:c>
      <x:c r="H118" s="44" t="n">
        <x:v>46115</x:v>
      </x:c>
      <x:c r="I118" s="42" t="str">
        <x:v>Ozon анонсировал размещение облигаций на 15 млрд рублей - https://expert.ru</x:v>
      </x:c>
    </x:row>
    <x:row r="119">
      <x:c r="A119" s="42" t="str">
        <x:v>DL-1363a495ec14164a</x:v>
      </x:c>
      <x:c r="B119" s="44" t="n">
        <x:v>46115</x:v>
      </x:c>
      <x:c r="C119" s="42" t="str">
        <x:v>Ozon</x:v>
      </x:c>
      <x:c r="D119" s="42" t="str">
        <x:v>https://expert.ru</x:v>
      </x:c>
      <x:c r="E119" s="42" t="str">
        <x:v>archive_discovery</x:v>
      </x:c>
      <x:c r="F119" s="42" t="str">
        <x:v>unverified</x:v>
      </x:c>
      <x:c r="G119" s="42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H119" s="44"/>
      <x:c r="I119" s="42" t="str">
        <x:v>Ozon анонсировал размещение облигаций на 15 млрд рублей - https://expert.ru</x:v>
      </x:c>
    </x:row>
    <x:row r="120">
      <x:c r="A120" s="42" t="str">
        <x:v>DL-1363a495ec14164a</x:v>
      </x:c>
      <x:c r="B120" s="44" t="n">
        <x:v>46115</x:v>
      </x:c>
      <x:c r="C120" s="42" t="str">
        <x:v>Ozon</x:v>
      </x:c>
      <x:c r="D120" s="42" t="str">
        <x:v>Эксперт</x:v>
      </x:c>
      <x:c r="E120" s="42" t="str">
        <x:v>archive_discovery</x:v>
      </x:c>
      <x:c r="F120" s="42" t="str">
        <x:v>unverified</x:v>
      </x:c>
      <x:c r="G120" s="42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H120" s="44"/>
      <x:c r="I120" s="42" t="str">
        <x:v>Ozon анонсировал размещение облигаций на 15 млрд рублей - https://expert.ru</x:v>
      </x:c>
    </x:row>
    <x:row r="121">
      <x:c r="A121" s="42" t="str">
        <x:v>DL-12855c6275c496fe</x:v>
      </x:c>
      <x:c r="B121" s="44" t="n">
        <x:v>46115</x:v>
      </x:c>
      <x:c r="C121" s="42" t="str">
        <x:v>Ozon</x:v>
      </x:c>
      <x:c r="D121" s="42" t="str">
        <x:v>БКС Экспресс</x:v>
      </x:c>
      <x:c r="E121" s="42" t="str">
        <x:v>public_web</x:v>
      </x:c>
      <x:c r="F121" s="42" t="str">
        <x:v>unverified</x:v>
      </x:c>
      <x:c r="G121" s="42" t="str">
        <x:v>https://bcs-express.ru/novosti-i-analitika/ozon-planiruet-debiutnoe-razmeshchenie-birzhevykh-obligatsii</x:v>
      </x:c>
      <x:c r="H121" s="44" t="n">
        <x:v>46115</x:v>
      </x:c>
      <x:c r="I121" s="42" t="str">
        <x:v>Озон планирует дебютное размещение биржевых облигаций - БКС Экспресс</x:v>
      </x:c>
    </x:row>
    <x:row r="122">
      <x:c r="A122" s="42" t="str">
        <x:v>DL-12855c6275c496fe</x:v>
      </x:c>
      <x:c r="B122" s="44" t="n">
        <x:v>46115</x:v>
      </x:c>
      <x:c r="C122" s="42" t="str">
        <x:v>Ozon</x:v>
      </x:c>
      <x:c r="D122" s="42" t="str">
        <x:v>БКС Экспресс</x:v>
      </x:c>
      <x:c r="E122" s="42" t="str">
        <x:v>archive_discovery</x:v>
      </x:c>
      <x:c r="F122" s="42" t="str">
        <x:v>unverified</x:v>
      </x:c>
      <x:c r="G122" s="42" t="str">
        <x:v>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H122" s="44"/>
      <x:c r="I122" s="42" t="str">
        <x:v>Озон планирует дебютное размещение биржевых облигаций - БКС Экспресс</x:v>
      </x:c>
    </x:row>
    <x:row r="123">
      <x:c r="A123" s="42" t="str">
        <x:v>DL-d39c99c4c2dfa45c</x:v>
      </x:c>
      <x:c r="B123" s="44" t="n">
        <x:v>46111</x:v>
      </x:c>
      <x:c r="C123" s="42" t="str">
        <x:v>VK</x:v>
      </x:c>
      <x:c r="D123" s="42" t="str">
        <x:v>vk.company</x:v>
      </x:c>
      <x:c r="E123" s="42" t="str">
        <x:v>public_web</x:v>
      </x:c>
      <x:c r="F123" s="42" t="str">
        <x:v>unverified</x:v>
      </x:c>
      <x:c r="G123" s="42" t="str">
        <x:v>https://vk.company/investors/info/12271/</x:v>
      </x:c>
      <x:c r="H123" s="44" t="n">
        <x:v>46111</x:v>
      </x:c>
      <x:c r="I123" s="42" t="str">
        <x:v>VK объявляет о планах по размещению биржевых облигаций объемом 10 млрд рублей - vk.company</x:v>
      </x:c>
    </x:row>
    <x:row r="124">
      <x:c r="A124" s="42" t="str">
        <x:v>DL-b9babb23f2c4462c</x:v>
      </x:c>
      <x:c r="B124" s="44" t="n">
        <x:v>46111</x:v>
      </x:c>
      <x:c r="C124" s="42" t="str">
        <x:v>VK</x:v>
      </x:c>
      <x:c r="D124" s="42" t="str">
        <x:v>Финам</x:v>
      </x:c>
      <x:c r="E124" s="42" t="str">
        <x:v>public_web</x:v>
      </x:c>
      <x:c r="F124" s="42" t="str">
        <x:v>unverified</x:v>
      </x:c>
      <x:c r="G124" s="42" t="str">
        <x:v>https://www.finam.ru/publications/item/vk-razmeshchaet-obligatsii-kak-eto-otrazitsya-na-investorakh-v-aktsii-20260330-1740/</x:v>
      </x:c>
      <x:c r="H124" s="44" t="n">
        <x:v>46111</x:v>
      </x:c>
      <x:c r="I124" s="42" t="str">
        <x:v>VK размещает облигации: как это отразится на инвесторах в акции 30.03.2026 - Финам</x:v>
      </x:c>
    </x:row>
    <x:row r="125">
      <x:c r="A125" s="42" t="str">
        <x:v>DL-238a83afad61e805</x:v>
      </x:c>
      <x:c r="B125" s="44" t="n">
        <x:v>46080</x:v>
      </x:c>
      <x:c r="C125" s="42" t="str">
        <x:v>SELECTEL</x:v>
      </x:c>
      <x:c r="D125" s="42" t="str">
        <x:v>Selectel Newsroom</x:v>
      </x:c>
      <x:c r="E125" s="42" t="str">
        <x:v>public_web</x:v>
      </x:c>
      <x:c r="F125" s="42" t="str">
        <x:v>confirmed</x:v>
      </x:c>
      <x:c r="G125" s="42" t="str">
        <x:v>https://selectel.ru/about/newsroom/news/selectel-razmestil-novyj-vypusk-obligaczij-i-privlek-7-milliardov-rublej-na-razvitie-biznesa/</x:v>
      </x:c>
      <x:c r="H125" s="44" t="n">
        <x:v>46080</x:v>
      </x:c>
      <x:c r="I125" s="42" t="str">
        <x:v>Selectel разместил новый выпуск облигаций и привлек 7 миллиардов рублей на развитие бизнеса</x:v>
      </x:c>
    </x:row>
    <x:row r="126">
      <x:c r="A126" s="42" t="str">
        <x:v>DL-251bf0d0b7b600c1</x:v>
      </x:c>
      <x:c r="B126" s="44" t="n">
        <x:v>45642</x:v>
      </x:c>
      <x:c r="C126" s="42" t="str">
        <x:v>Not disclosed</x:v>
      </x:c>
      <x:c r="D126" s="42" t="str">
        <x:v>Selectel Newsroom</x:v>
      </x:c>
      <x:c r="E126" s="42" t="str">
        <x:v>public_web</x:v>
      </x:c>
      <x:c r="F126" s="42" t="str">
        <x:v>confirmed</x:v>
      </x:c>
      <x:c r="G126" s="42" t="str">
        <x:v>https://selectel.ru/about/newsroom/news/selectel-soobshchaet-o-priobretenii-oblachnogo-provajdera-servers-ru/</x:v>
      </x:c>
      <x:c r="H126" s="44" t="n">
        <x:v>45642</x:v>
      </x:c>
      <x:c r="I126" s="42" t="str">
        <x:v>Selectel сообщает о приобретении облачного провайдера Servers.ru</x:v>
      </x:c>
    </x:row>
    <x:row r="127">
      <x:c r="A127" s="42" t="str">
        <x:v>DL-aa5a93661389a659</x:v>
      </x:c>
      <x:c r="B127" s="44" t="n">
        <x:v>45611</x:v>
      </x:c>
      <x:c r="C127" s="42" t="str">
        <x:v>SELECTEL</x:v>
      </x:c>
      <x:c r="D127" s="42" t="str">
        <x:v>Selectel Newsroom</x:v>
      </x:c>
      <x:c r="E127" s="42" t="str">
        <x:v>public_web</x:v>
      </x:c>
      <x:c r="F127" s="42" t="str">
        <x:v>confirmed</x:v>
      </x:c>
      <x:c r="G127" s="42" t="str">
        <x:v>https://selectel.ru/about/newsroom/news/selectel-planiruet-razmeshhenie-obligaczij-obemom-3-milliarda-rublej-2/</x:v>
      </x:c>
      <x:c r="H127" s="44" t="n">
        <x:v>45611</x:v>
      </x:c>
      <x:c r="I127" s="42" t="str">
        <x:v>Selectel планирует размещение облигаций объемом 3 миллиарда рублей</x:v>
      </x:c>
    </x:row>
    <x:row r="128">
      <x:c r="A128" s="42" t="str">
        <x:v>DL-c898acc93d60813b</x:v>
      </x:c>
      <x:c r="B128" s="44" t="n">
        <x:v>45391</x:v>
      </x:c>
      <x:c r="C128" s="42" t="str">
        <x:v>SELECTEL</x:v>
      </x:c>
      <x:c r="D128" s="42" t="str">
        <x:v>Selectel Newsroom</x:v>
      </x:c>
      <x:c r="E128" s="42" t="str">
        <x:v>public_web</x:v>
      </x:c>
      <x:c r="F128" s="42" t="str">
        <x:v>confirmed</x:v>
      </x:c>
      <x:c r="G128" s="42" t="str">
        <x:v>https://selectel.ru/about/newsroom/news/selectel-na-fone-povyshennogo-sprosa-na-obligaczii-chetvertogo-vypuska-uvelichil-obem-razmeshheniya-do-4-mlrd-rublej/</x:v>
      </x:c>
      <x:c r="H128" s="44" t="n">
        <x:v>45391</x:v>
      </x:c>
      <x:c r="I128" s="42" t="str">
        <x:v>Selectel на фоне повышенного спроса на облигации четвертого выпуска увеличил объем размещения до 4 млрд рублей</x:v>
      </x:c>
    </x:row>
    <x:row r="129">
      <x:c r="A129" s="42" t="str">
        <x:v>DL-3b4a4419ab6b81bf</x:v>
      </x:c>
      <x:c r="B129" s="44" t="n">
        <x:v>45357</x:v>
      </x:c>
      <x:c r="C129" s="42" t="str">
        <x:v>SELECTEL</x:v>
      </x:c>
      <x:c r="D129" s="42" t="str">
        <x:v>Selectel Newsroom</x:v>
      </x:c>
      <x:c r="E129" s="42" t="str">
        <x:v>public_web</x:v>
      </x:c>
      <x:c r="F129" s="42" t="str">
        <x:v>confirmed</x:v>
      </x:c>
      <x:c r="G129" s="42" t="str">
        <x:v>https://selectel.ru/about/newsroom/news/selectel-planiruet-razmeshhenie-obligaczij-obemom-3-milliarda-rublej/</x:v>
      </x:c>
      <x:c r="H129" s="44" t="n">
        <x:v>45357</x:v>
      </x:c>
      <x:c r="I129" s="42" t="str">
        <x:v>Selectel планирует размещение облигаций объемом 3 миллиарда рублей</x:v>
      </x:c>
    </x:row>
    <x:row r="130">
      <x:c r="A130" s="42" t="str">
        <x:v>DL-0242cf80b3f97c9c</x:v>
      </x:c>
      <x:c r="B130" s="44" t="n">
        <x:v>45288</x:v>
      </x:c>
      <x:c r="C130" s="42" t="str">
        <x:v>25% провайдера IT-инфраструктуры Selectel</x:v>
      </x:c>
      <x:c r="D130" s="42" t="str">
        <x:v>Selectel Newsroom</x:v>
      </x:c>
      <x:c r="E130" s="42" t="str">
        <x:v>public_web</x:v>
      </x:c>
      <x:c r="F130" s="42" t="str">
        <x:v>confirmed</x:v>
      </x:c>
      <x:c r="G130" s="42" t="str">
        <x:v>https://selectel.ru/about/newsroom/news/investicionnyj-fond-tier-5-priobrel-25-provajdera-it-infrastruktury-selectel/</x:v>
      </x:c>
      <x:c r="H130" s="44" t="n">
        <x:v>45288</x:v>
      </x:c>
      <x:c r="I130" s="42" t="str">
        <x:v>Инвестиционный фонд Tier 5 приобрел 25% провайдера IT-инфраструктуры Selectel</x:v>
      </x:c>
    </x:row>
    <x:row r="131">
      <x:c r="A131" s="42" t="str">
        <x:v>CURATED-MA-CISCO-SPLUNK-2023</x:v>
      </x:c>
      <x:c r="B131" s="44" t="n">
        <x:v>45190</x:v>
      </x:c>
      <x:c r="C131" s="42" t="str">
        <x:v>Splunk</x:v>
      </x:c>
      <x:c r="D131" s="42" t="str">
        <x:v>Cisco transaction announcement</x:v>
      </x:c>
      <x:c r="E131" s="42" t="str">
        <x:v>issuer_ir</x:v>
      </x:c>
      <x:c r="F131" s="42" t="str">
        <x:v>confirmed</x:v>
      </x:c>
      <x:c r="G131" s="42" t="str">
        <x:v>https://investor.cisco.com/news/news-details/2023/Cisco-to-Acquire-Splunk-to-Help-Make-Organizations-More-Secure-and-Resilient-in-an-AI-Powered-World/default.aspx</x:v>
      </x:c>
      <x:c r="H131" s="44" t="n">
        <x:v>45190</x:v>
      </x:c>
      <x:c r="I131" s="42" t="str">
        <x:v>Cisco acquired Splunk in an all-cash transaction</x:v>
      </x:c>
    </x:row>
    <x:row r="132">
      <x:c r="A132" s="42" t="str">
        <x:v>CURATED-MA-CISCO-SPLUNK-2023</x:v>
      </x:c>
      <x:c r="B132" s="44" t="n">
        <x:v>45190</x:v>
      </x:c>
      <x:c r="C132" s="42" t="str">
        <x:v>Splunk</x:v>
      </x:c>
      <x:c r="D132" s="42" t="str">
        <x:v>Splunk FY2023 Form 10-K</x:v>
      </x:c>
      <x:c r="E132" s="42" t="str">
        <x:v>sec_filing</x:v>
      </x:c>
      <x:c r="F132" s="42" t="str">
        <x:v>confirmed</x:v>
      </x:c>
      <x:c r="G132" s="42" t="str">
        <x:v>https://www.sec.gov/Archives/edgar/data/1353283/000135328323000011/splk-20230131.htm</x:v>
      </x:c>
      <x:c r="H132" s="44" t="n">
        <x:v>45008</x:v>
      </x:c>
      <x:c r="I132" s="42" t="str">
        <x:v>Cisco acquired Splunk in an all-cash transaction</x:v>
      </x:c>
    </x:row>
    <x:row r="133">
      <x:c r="A133" s="42" t="str">
        <x:v>CURATED-MA-BROADCOM-VMWARE-2022</x:v>
      </x:c>
      <x:c r="B133" s="44" t="n">
        <x:v>44707</x:v>
      </x:c>
      <x:c r="C133" s="42" t="str">
        <x:v>VMware</x:v>
      </x:c>
      <x:c r="D133" s="42" t="str">
        <x:v>Broadcom transaction announcement</x:v>
      </x:c>
      <x:c r="E133" s="42" t="str">
        <x:v>issuer_ir</x:v>
      </x:c>
      <x:c r="F133" s="42" t="str">
        <x:v>confirmed</x:v>
      </x:c>
      <x:c r="G133" s="42" t="str">
        <x:v>https://investors.broadcom.com/news-releases/news-release-details/broadcom-acquire-vmware-approximately-61-billion-cash-and-stock</x:v>
      </x:c>
      <x:c r="H133" s="44" t="n">
        <x:v>44707</x:v>
      </x:c>
      <x:c r="I133" s="42" t="str">
        <x:v>Broadcom acquired VMware in a cash-and-stock transaction</x:v>
      </x:c>
    </x:row>
    <x:row r="134">
      <x:c r="A134" s="42" t="str">
        <x:v>CURATED-MA-BROADCOM-VMWARE-2022</x:v>
      </x:c>
      <x:c r="B134" s="44" t="n">
        <x:v>44707</x:v>
      </x:c>
      <x:c r="C134" s="42" t="str">
        <x:v>VMware</x:v>
      </x:c>
      <x:c r="D134" s="42" t="str">
        <x:v>VMware FY2022 Form 10-K</x:v>
      </x:c>
      <x:c r="E134" s="42" t="str">
        <x:v>sec_filing</x:v>
      </x:c>
      <x:c r="F134" s="42" t="str">
        <x:v>confirmed</x:v>
      </x:c>
      <x:c r="G134" s="42" t="str">
        <x:v>https://www.sec.gov/Archives/edgar/data/1124610/000112461022000009/vmw-20220128.htm</x:v>
      </x:c>
      <x:c r="H134" s="44" t="n">
        <x:v>44644</x:v>
      </x:c>
      <x:c r="I134" s="42" t="str">
        <x:v>Broadcom acquired VMware in a cash-and-stock transaction</x:v>
      </x:c>
    </x:row>
    <x:row r="135">
      <x:c r="A135" s="42" t="str">
        <x:v>CURATED-MA-THOMA-BRAVO-ANAPLAN-2022</x:v>
      </x:c>
      <x:c r="B135" s="44" t="n">
        <x:v>44640</x:v>
      </x:c>
      <x:c r="C135" s="42" t="str">
        <x:v>Anaplan</x:v>
      </x:c>
      <x:c r="D135" s="42" t="str">
        <x:v>Anaplan completion announcement</x:v>
      </x:c>
      <x:c r="E135" s="42" t="str">
        <x:v>issuer_ir</x:v>
      </x:c>
      <x:c r="F135" s="42" t="str">
        <x:v>confirmed</x:v>
      </x:c>
      <x:c r="G135" s="42" t="str">
        <x:v>https://www.anaplan.com/news/thoma-bravo-completes-acquisition-of-anaplan/</x:v>
      </x:c>
      <x:c r="H135" s="44" t="n">
        <x:v>44734</x:v>
      </x:c>
      <x:c r="I135" s="42" t="str">
        <x:v>Thoma Bravo acquired Anaplan in an all-cash transaction</x:v>
      </x:c>
    </x:row>
    <x:row r="136">
      <x:c r="A136" s="42" t="str">
        <x:v>CURATED-MA-THOMA-BRAVO-ANAPLAN-2022</x:v>
      </x:c>
      <x:c r="B136" s="44" t="n">
        <x:v>44640</x:v>
      </x:c>
      <x:c r="C136" s="42" t="str">
        <x:v>Anaplan</x:v>
      </x:c>
      <x:c r="D136" s="42" t="str">
        <x:v>Anaplan FY2022 Form 10-K</x:v>
      </x:c>
      <x:c r="E136" s="42" t="str">
        <x:v>sec_filing</x:v>
      </x:c>
      <x:c r="F136" s="42" t="str">
        <x:v>confirmed</x:v>
      </x:c>
      <x:c r="G136" s="42" t="str">
        <x:v>https://www.sec.gov/Archives/edgar/data/1540755/000154075522000018/plan-20220131.htm</x:v>
      </x:c>
      <x:c r="H136" s="44" t="n">
        <x:v>44643</x:v>
      </x:c>
      <x:c r="I136" s="42" t="str">
        <x:v>Thoma Bravo acquired Anaplan in an all-cash transaction</x:v>
      </x:c>
    </x:row>
    <x:row r="137">
      <x:c r="A137" s="42" t="str">
        <x:v>CURATED-MA-VISTA-CITRIX-2022</x:v>
      </x:c>
      <x:c r="B137" s="44" t="n">
        <x:v>44592</x:v>
      </x:c>
      <x:c r="C137" s="42" t="str">
        <x:v>Citrix Systems</x:v>
      </x:c>
      <x:c r="D137" s="42" t="str">
        <x:v>Citrix Form 10-K transaction disclosure</x:v>
      </x:c>
      <x:c r="E137" s="42" t="str">
        <x:v>sec_filing</x:v>
      </x:c>
      <x:c r="F137" s="42" t="str">
        <x:v>confirmed</x:v>
      </x:c>
      <x:c r="G137" s="42" t="str">
        <x:v>https://www.sec.gov/Archives/edgar/data/877890/000087789022000019/ctxs-20211231.htm</x:v>
      </x:c>
      <x:c r="H137" s="44" t="n">
        <x:v>44608</x:v>
      </x:c>
      <x:c r="I137" s="42" t="str">
        <x:v>Vista Equity Partners and Evergreen Coast Capital acquired Citrix Systems</x:v>
      </x:c>
    </x:row>
    <x:row r="138">
      <x:c r="A138" s="42" t="str">
        <x:v>CURATED-MA-VISTA-CITRIX-2022</x:v>
      </x:c>
      <x:c r="B138" s="44" t="n">
        <x:v>44592</x:v>
      </x:c>
      <x:c r="C138" s="42" t="str">
        <x:v>Citrix Systems</x:v>
      </x:c>
      <x:c r="D138" s="42" t="str">
        <x:v>Citrix FY2021 Form 10-K</x:v>
      </x:c>
      <x:c r="E138" s="42" t="str">
        <x:v>sec_filing</x:v>
      </x:c>
      <x:c r="F138" s="42" t="str">
        <x:v>confirmed</x:v>
      </x:c>
      <x:c r="G138" s="42" t="str">
        <x:v>https://www.sec.gov/Archives/edgar/data/877890/000087789022000019/ctxs-20211231.htm</x:v>
      </x:c>
      <x:c r="H138" s="44" t="n">
        <x:v>44608</x:v>
      </x:c>
      <x:c r="I138" s="42" t="str">
        <x:v>Vista Equity Partners and Evergreen Coast Capital acquired Citrix Systems</x:v>
      </x:c>
    </x:row>
    <x:row r="139">
      <x:c r="A139" s="42" t="str">
        <x:v>CURATED-MA-MICROSOFT-ACTIVISION-2022</x:v>
      </x:c>
      <x:c r="B139" s="44" t="n">
        <x:v>44579</x:v>
      </x:c>
      <x:c r="C139" s="42" t="str">
        <x:v>Activision Blizzard</x:v>
      </x:c>
      <x:c r="D139" s="42" t="str">
        <x:v>Microsoft transaction announcement</x:v>
      </x:c>
      <x:c r="E139" s="42" t="str">
        <x:v>issuer_ir</x:v>
      </x:c>
      <x:c r="F139" s="42" t="str">
        <x:v>confirmed</x:v>
      </x:c>
      <x:c r="G139" s="42" t="str">
        <x:v>https://news.microsoft.com/source/2022/01/18/microsoft-to-acquire-activision-blizzard-to-bring-the-joy-and-community-of-gaming-to-everyone-across-every-device/</x:v>
      </x:c>
      <x:c r="H139" s="44" t="n">
        <x:v>44579</x:v>
      </x:c>
      <x:c r="I139" s="42" t="str">
        <x:v>Microsoft acquired Activision Blizzard in an all-cash transaction</x:v>
      </x:c>
    </x:row>
    <x:row r="140">
      <x:c r="A140" s="42" t="str">
        <x:v>CURATED-MA-MICROSOFT-ACTIVISION-2022</x:v>
      </x:c>
      <x:c r="B140" s="44" t="n">
        <x:v>44579</x:v>
      </x:c>
      <x:c r="C140" s="42" t="str">
        <x:v>Activision Blizzard</x:v>
      </x:c>
      <x:c r="D140" s="42" t="str">
        <x:v>Activision Blizzard FY2020 Form 10-K</x:v>
      </x:c>
      <x:c r="E140" s="42" t="str">
        <x:v>sec_filing</x:v>
      </x:c>
      <x:c r="F140" s="42" t="str">
        <x:v>confirmed</x:v>
      </x:c>
      <x:c r="G140" s="42" t="str">
        <x:v>https://www.sec.gov/Archives/edgar/data/718877/000162828021002828/atvi-20201231.htm</x:v>
      </x:c>
      <x:c r="H140" s="44" t="n">
        <x:v>44250</x:v>
      </x:c>
      <x:c r="I140" s="42" t="str">
        <x:v>Microsoft acquired Activision Blizzard in an all-cash transaction</x:v>
      </x:c>
    </x:row>
    <x:row r="141">
      <x:c r="A141" s="42" t="str">
        <x:v>CURATED-MA-SALESFORCE-SLACK-2020</x:v>
      </x:c>
      <x:c r="B141" s="44" t="n">
        <x:v>44166</x:v>
      </x:c>
      <x:c r="C141" s="42" t="str">
        <x:v>Slack Technologies</x:v>
      </x:c>
      <x:c r="D141" s="42" t="str">
        <x:v>Salesforce transaction announcement</x:v>
      </x:c>
      <x:c r="E141" s="42" t="str">
        <x:v>issuer_ir</x:v>
      </x:c>
      <x:c r="F141" s="42" t="str">
        <x:v>confirmed</x:v>
      </x:c>
      <x:c r="G141" s="42" t="str">
        <x:v>https://www.salesforce.com/news/press-releases/2020/12/01/salesforce-definitive-agreement-update/</x:v>
      </x:c>
      <x:c r="H141" s="44" t="n">
        <x:v>44166</x:v>
      </x:c>
      <x:c r="I141" s="42" t="str">
        <x:v>Salesforce acquired Slack Technologies in a cash-and-stock transaction</x:v>
      </x:c>
    </x:row>
    <x:row r="142">
      <x:c r="A142" s="42" t="str">
        <x:v>CURATED-MA-SALESFORCE-SLACK-2020</x:v>
      </x:c>
      <x:c r="B142" s="44" t="n">
        <x:v>44166</x:v>
      </x:c>
      <x:c r="C142" s="42" t="str">
        <x:v>Slack Technologies</x:v>
      </x:c>
      <x:c r="D142" s="42" t="str">
        <x:v>Slack FY2020 Form 10-K</x:v>
      </x:c>
      <x:c r="E142" s="42" t="str">
        <x:v>sec_filing</x:v>
      </x:c>
      <x:c r="F142" s="42" t="str">
        <x:v>confirmed</x:v>
      </x:c>
      <x:c r="G142" s="42" t="str">
        <x:v>https://www.sec.gov/Archives/edgar/data/1764925/000176492520000251/a1312010-k.htm</x:v>
      </x:c>
      <x:c r="H142" s="44" t="n">
        <x:v>43902</x:v>
      </x:c>
      <x:c r="I142" s="42" t="str">
        <x:v>Salesforce acquired Slack Technologies in a cash-and-stock transaction</x:v>
      </x:c>
    </x:row>
    <x:row r="143">
      <x:c r="A143" s="42" t="str">
        <x:v>CURATED-MA-AMD-XILINX-2020</x:v>
      </x:c>
      <x:c r="B143" s="44" t="n">
        <x:v>44131</x:v>
      </x:c>
      <x:c r="C143" s="42" t="str">
        <x:v>Xilinx</x:v>
      </x:c>
      <x:c r="D143" s="42" t="str">
        <x:v>AMD transaction announcement</x:v>
      </x:c>
      <x:c r="E143" s="42" t="str">
        <x:v>issuer_ir</x:v>
      </x:c>
      <x:c r="F143" s="42" t="str">
        <x:v>confirmed</x:v>
      </x:c>
      <x:c r="G143" s="42" t="str">
        <x:v>https://ir.amd.com/news-events/press-releases/detail/977/amd-to-acquire-xilinx-creating-the-industrys-high-performance-computing-leader</x:v>
      </x:c>
      <x:c r="H143" s="44" t="n">
        <x:v>44131</x:v>
      </x:c>
      <x:c r="I143" s="42" t="str">
        <x:v>AMD acquired Xilinx in an all-stock transaction</x:v>
      </x:c>
    </x:row>
    <x:row r="144">
      <x:c r="A144" s="42" t="str">
        <x:v>CURATED-MA-AMD-XILINX-2020</x:v>
      </x:c>
      <x:c r="B144" s="44" t="n">
        <x:v>44131</x:v>
      </x:c>
      <x:c r="C144" s="42" t="str">
        <x:v>Xilinx</x:v>
      </x:c>
      <x:c r="D144" s="42" t="str">
        <x:v>Xilinx FY2020 Form 10-K</x:v>
      </x:c>
      <x:c r="E144" s="42" t="str">
        <x:v>sec_filing</x:v>
      </x:c>
      <x:c r="F144" s="42" t="str">
        <x:v>confirmed</x:v>
      </x:c>
      <x:c r="G144" s="42" t="str">
        <x:v>https://www.sec.gov/Archives/edgar/data/743988/000074398820000020/xlnx328202010k.htm</x:v>
      </x:c>
      <x:c r="H144" s="44" t="n">
        <x:v>43966</x:v>
      </x:c>
      <x:c r="I144" s="42" t="str">
        <x:v>AMD acquired Xilinx in an all-stock transaction</x:v>
      </x:c>
    </x:row>
    <x:row r="145">
      <x:c r="A145" s="42" t="str">
        <x:v>CURATED-MA-SALESFORCE-TABLEAU-2019</x:v>
      </x:c>
      <x:c r="B145" s="44" t="n">
        <x:v>43626</x:v>
      </x:c>
      <x:c r="C145" s="42" t="str">
        <x:v>Tableau Software</x:v>
      </x:c>
      <x:c r="D145" s="42" t="str">
        <x:v>Salesforce transaction announcement</x:v>
      </x:c>
      <x:c r="E145" s="42" t="str">
        <x:v>issuer_ir</x:v>
      </x:c>
      <x:c r="F145" s="42" t="str">
        <x:v>confirmed</x:v>
      </x:c>
      <x:c r="G145" s="42" t="str">
        <x:v>https://www.salesforce.com/news/press-releases/2019/06/10/salesforce-signs-definitive-agreement-to-acquire-tableau/</x:v>
      </x:c>
      <x:c r="H145" s="44" t="n">
        <x:v>43626</x:v>
      </x:c>
      <x:c r="I145" s="42" t="str">
        <x:v>Salesforce acquired Tableau Software in an all-stock transaction</x:v>
      </x:c>
    </x:row>
    <x:row r="146">
      <x:c r="A146" s="42" t="str">
        <x:v>CURATED-MA-SALESFORCE-TABLEAU-2019</x:v>
      </x:c>
      <x:c r="B146" s="44" t="n">
        <x:v>43626</x:v>
      </x:c>
      <x:c r="C146" s="42" t="str">
        <x:v>Tableau Software</x:v>
      </x:c>
      <x:c r="D146" s="42" t="str">
        <x:v>Tableau FY2018 Form 10-K</x:v>
      </x:c>
      <x:c r="E146" s="42" t="str">
        <x:v>sec_filing</x:v>
      </x:c>
      <x:c r="F146" s="42" t="str">
        <x:v>confirmed</x:v>
      </x:c>
      <x:c r="G146" s="42" t="str">
        <x:v>https://www.sec.gov/Archives/edgar/data/1303652/000130365219000007/a10k2018.htm</x:v>
      </x:c>
      <x:c r="H146" s="44" t="n">
        <x:v>43518</x:v>
      </x:c>
      <x:c r="I146" s="42" t="str">
        <x:v>Salesforce acquired Tableau Software in an all-stock transaction</x:v>
      </x:c>
    </x:row>
    <x:row r="147">
      <x:c r="A147" s="42" t="str">
        <x:v>CURATED-MA-IBM-RED-HAT-2018</x:v>
      </x:c>
      <x:c r="B147" s="44" t="n">
        <x:v>43401</x:v>
      </x:c>
      <x:c r="C147" s="42" t="str">
        <x:v>Red Hat</x:v>
      </x:c>
      <x:c r="D147" s="42" t="str">
        <x:v>IBM transaction announcement</x:v>
      </x:c>
      <x:c r="E147" s="42" t="str">
        <x:v>issuer_ir</x:v>
      </x:c>
      <x:c r="F147" s="42" t="str">
        <x:v>confirmed</x:v>
      </x:c>
      <x:c r="G147" s="42" t="str">
        <x:v>https://uk.newsroom.ibm.com/2018-10-28-IBM-To-Acquire-Red-Hat-Completely-Changing-The-Cloud-Landscape-And-Becoming-Worlds-1-Hybrid-Cloud-Provider</x:v>
      </x:c>
      <x:c r="H147" s="44" t="n">
        <x:v>43401</x:v>
      </x:c>
      <x:c r="I147" s="42" t="str">
        <x:v>IBM acquired Red Hat in an all-cash transaction</x:v>
      </x:c>
    </x:row>
    <x:row r="148">
      <x:c r="A148" s="42" t="str">
        <x:v>CURATED-MA-IBM-RED-HAT-2018</x:v>
      </x:c>
      <x:c r="B148" s="44" t="n">
        <x:v>43401</x:v>
      </x:c>
      <x:c r="C148" s="42" t="str">
        <x:v>Red Hat</x:v>
      </x:c>
      <x:c r="D148" s="42" t="str">
        <x:v>Red Hat FY2018 Form 10-K</x:v>
      </x:c>
      <x:c r="E148" s="42" t="str">
        <x:v>sec_filing</x:v>
      </x:c>
      <x:c r="F148" s="42" t="str">
        <x:v>confirmed</x:v>
      </x:c>
      <x:c r="G148" s="42" t="str">
        <x:v>https://www.sec.gov/Archives/edgar/data/1087423/000108742318000010/rht-10kq4fy18.htm</x:v>
      </x:c>
      <x:c r="H148" s="44" t="n">
        <x:v>43215</x:v>
      </x:c>
      <x:c r="I148" s="42" t="str">
        <x:v>IBM acquired Red Hat in an all-cash transaction</x:v>
      </x:c>
    </x:row>
    <x:row r="149">
      <x:c r="A149" s="42" t="str">
        <x:v>CURATED-MA-MICROSOFT-LINKEDIN-2016</x:v>
      </x:c>
      <x:c r="B149" s="44" t="n">
        <x:v>42534</x:v>
      </x:c>
      <x:c r="C149" s="42" t="str">
        <x:v>LinkedIn</x:v>
      </x:c>
      <x:c r="D149" s="42" t="str">
        <x:v>Microsoft transaction announcement</x:v>
      </x:c>
      <x:c r="E149" s="42" t="str">
        <x:v>issuer_ir</x:v>
      </x:c>
      <x:c r="F149" s="42" t="str">
        <x:v>confirmed</x:v>
      </x:c>
      <x:c r="G149" s="42" t="str">
        <x:v>https://news.microsoft.com/source/2016/06/13/microsoft-to-acquire-linkedin/</x:v>
      </x:c>
      <x:c r="H149" s="44" t="n">
        <x:v>42534</x:v>
      </x:c>
      <x:c r="I149" s="42" t="str">
        <x:v>Microsoft acquired LinkedIn in an all-cash transaction</x:v>
      </x:c>
    </x:row>
    <x:row r="150">
      <x:c r="A150" s="42" t="str">
        <x:v>CURATED-MA-MICROSOFT-LINKEDIN-2016</x:v>
      </x:c>
      <x:c r="B150" s="44" t="n">
        <x:v>42534</x:v>
      </x:c>
      <x:c r="C150" s="42" t="str">
        <x:v>LinkedIn</x:v>
      </x:c>
      <x:c r="D150" s="42" t="str">
        <x:v>LinkedIn FY2015 Form 10-K</x:v>
      </x:c>
      <x:c r="E150" s="42" t="str">
        <x:v>sec_filing</x:v>
      </x:c>
      <x:c r="F150" s="42" t="str">
        <x:v>confirmed</x:v>
      </x:c>
      <x:c r="G150" s="42" t="str">
        <x:v>https://www.sec.gov/Archives/edgar/data/1271024/000127102416000035/a20151231-10xkdocument.htm</x:v>
      </x:c>
      <x:c r="H150" s="44" t="n">
        <x:v>42412</x:v>
      </x:c>
      <x:c r="I150" s="42" t="str">
        <x:v>Microsoft acquired LinkedIn in an all-cash transaction</x:v>
      </x:c>
    </x:row>
  </x:sheetData>
  <x:mergeCells>
    <x:mergeCell ref="A1:P1"/>
    <x:mergeCell ref="A2:P2"/>
    <x:mergeCell ref="A4:I4"/>
    <x:mergeCell ref="K4:P4"/>
    <x:mergeCell ref="K19:O19"/>
  </x:mergeCells>
  <x:conditionalFormatting sqref="P7:P19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88fd8947f0144f03"/>
  </x:tableParts>
</x:worksheet>
</file>