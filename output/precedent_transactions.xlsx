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als" sheetId="2" r:id="rId2"/>
    <sheet name="Financials" sheetId="3" r:id="rId3"/>
    <sheet name="Multiples" sheetId="4" r:id="rId4"/>
    <sheet name="Sources &amp; QA" sheetId="5" r:id="rId5"/>
  </sheets>
  <calcPr calcId="124519" fullCalcOnLoad="1"/>
</workbook>
</file>

<file path=xl/sharedStrings.xml><?xml version="1.0" encoding="utf-8"?>
<sst xmlns="http://schemas.openxmlformats.org/spreadsheetml/2006/main" count="4399" uniqueCount="641">
  <si>
    <t>DEAL MARKETS COPILOT — SUMMARY</t>
  </si>
  <si>
    <t>As of 2026-07-08 | Build 6e5e3a8d7a54 | Quality-controlled transaction monitor</t>
  </si>
  <si>
    <t>DATABASE SNAPSHOT</t>
  </si>
  <si>
    <t>Total records</t>
  </si>
  <si>
    <t>M&amp;A</t>
  </si>
  <si>
    <t>ECM</t>
  </si>
  <si>
    <t>DCM</t>
  </si>
  <si>
    <t>Approved</t>
  </si>
  <si>
    <t>Review</t>
  </si>
  <si>
    <t>Financials</t>
  </si>
  <si>
    <t>EV/Revenue coverage</t>
  </si>
  <si>
    <t>EV/EBITDA coverage</t>
  </si>
  <si>
    <t>Model status</t>
  </si>
  <si>
    <t>OK</t>
  </si>
  <si>
    <t>PRECEDENT VALUATION — APPROVED M&amp;A ONLY</t>
  </si>
  <si>
    <t>Median EV / Revenue</t>
  </si>
  <si>
    <t>Median EV / EBITDA</t>
  </si>
  <si>
    <t>EV / Revenue observations</t>
  </si>
  <si>
    <t>EV / EBITDA observations</t>
  </si>
  <si>
    <t>N/M</t>
  </si>
  <si>
    <t>LATEST KEY TRANSACTIONS</t>
  </si>
  <si>
    <t>Date</t>
  </si>
  <si>
    <t>Type</t>
  </si>
  <si>
    <t>Status</t>
  </si>
  <si>
    <t>Target / Issuer</t>
  </si>
  <si>
    <t>Buyer / Investor</t>
  </si>
  <si>
    <t>Value</t>
  </si>
  <si>
    <t>Currency</t>
  </si>
  <si>
    <t>Quality</t>
  </si>
  <si>
    <t>Sources</t>
  </si>
  <si>
    <t>Headline</t>
  </si>
  <si>
    <t>Confirmed</t>
  </si>
  <si>
    <t>открытое акционерное общество "Российские железные дороги"</t>
  </si>
  <si>
    <t>Not applicable</t>
  </si>
  <si>
    <t>Not disclosed</t>
  </si>
  <si>
    <t>approved</t>
  </si>
  <si>
    <t>О регистрации дополнительного выпуска биржевых облигаций</t>
  </si>
  <si>
    <t>Priced</t>
  </si>
  <si>
    <t>MTSS</t>
  </si>
  <si>
    <t>RUB</t>
  </si>
  <si>
    <t>МТС успешно закрыла книгу биржевых облигаций 003Р-03 на 20 млрд руб.</t>
  </si>
  <si>
    <t>Issued</t>
  </si>
  <si>
    <t>Yandex</t>
  </si>
  <si>
    <t>Яндекс разместил два выпуска биржевых облигаций на общую сумму 60 млрд рублей</t>
  </si>
  <si>
    <t>Closed</t>
  </si>
  <si>
    <t>Авто.ру</t>
  </si>
  <si>
    <t>T-Technologies</t>
  </si>
  <si>
    <t>Яндекс закрыл сделку по продаже Авто.ру</t>
  </si>
  <si>
    <t>SELECTEL</t>
  </si>
  <si>
    <t>Selectel разместил новый выпуск облигаций и привлек 7 миллиардов рублей на развитие бизнеса</t>
  </si>
  <si>
    <t>DEALS</t>
  </si>
  <si>
    <t>Normalized M&amp;A, DCM and ECM database; blanks mean not disclosed</t>
  </si>
  <si>
    <t>Deal ID</t>
  </si>
  <si>
    <t>Announced Date</t>
  </si>
  <si>
    <t>Record Kind</t>
  </si>
  <si>
    <t>Seller</t>
  </si>
  <si>
    <t>Sector</t>
  </si>
  <si>
    <t>Geography</t>
  </si>
  <si>
    <t>Transaction Value</t>
  </si>
  <si>
    <t>Enterprise Value</t>
  </si>
  <si>
    <t>Stake %</t>
  </si>
  <si>
    <t>Payment Form</t>
  </si>
  <si>
    <t>Advisors</t>
  </si>
  <si>
    <t>Instrument</t>
  </si>
  <si>
    <t>Security Code</t>
  </si>
  <si>
    <t>ISIN</t>
  </si>
  <si>
    <t>Coupon %</t>
  </si>
  <si>
    <t>Coupon Type</t>
  </si>
  <si>
    <t>Yield %</t>
  </si>
  <si>
    <t>Maturity</t>
  </si>
  <si>
    <t>Tenor</t>
  </si>
  <si>
    <t>Issue Price</t>
  </si>
  <si>
    <t>Price / Share</t>
  </si>
  <si>
    <t>Discount %</t>
  </si>
  <si>
    <t>Bookrunners</t>
  </si>
  <si>
    <t>Free Float %</t>
  </si>
  <si>
    <t>Rationale</t>
  </si>
  <si>
    <t>Revenue LTM</t>
  </si>
  <si>
    <t>EBITDA LTM</t>
  </si>
  <si>
    <t>Financials As Of</t>
  </si>
  <si>
    <t>Financials Currency</t>
  </si>
  <si>
    <t>EV / Revenue</t>
  </si>
  <si>
    <t>EV / EBITDA</t>
  </si>
  <si>
    <t>Financial Source</t>
  </si>
  <si>
    <t>Metric Basis</t>
  </si>
  <si>
    <t>Multiple Notes</t>
  </si>
  <si>
    <t>Quality Score</t>
  </si>
  <si>
    <t>Evidence</t>
  </si>
  <si>
    <t>Source Count</t>
  </si>
  <si>
    <t>Primary Source</t>
  </si>
  <si>
    <t>Primary URL</t>
  </si>
  <si>
    <t>DL-moex-101874</t>
  </si>
  <si>
    <t>deal</t>
  </si>
  <si>
    <t>Technology</t>
  </si>
  <si>
    <t>Russia</t>
  </si>
  <si>
    <t>Secondary share placement</t>
  </si>
  <si>
    <t>N/M: EV and aligned-currency financials are required</t>
  </si>
  <si>
    <t>review</t>
  </si>
  <si>
    <t>confirmed</t>
  </si>
  <si>
    <t>MOEX disclosure</t>
  </si>
  <si>
    <t>https://www.moex.com/n101874</t>
  </si>
  <si>
    <t>Частные инвесторы вложили в облигации на Московской бирже более 1,1 трлн рублей по итогам первого полугодия</t>
  </si>
  <si>
    <t>DL-7b25965c17ea42d6</t>
  </si>
  <si>
    <t>watchlist</t>
  </si>
  <si>
    <t>Reported</t>
  </si>
  <si>
    <t>Amazon намерена привлечь $25 млрд путем размещения облигаций</t>
  </si>
  <si>
    <t>Not classified</t>
  </si>
  <si>
    <t>USD</t>
  </si>
  <si>
    <t>Bonds</t>
  </si>
  <si>
    <t>unverified</t>
  </si>
  <si>
    <t>FashionNetwork Россия</t>
  </si>
  <si>
    <t>https://ru.fashionnetwork.com/news/Amazon-namerena-privlech%CA%B9-25-mlrd-putem-razmeshcheniya-obligatsiy,1850796.html</t>
  </si>
  <si>
    <t>Amazon намерена привлечь $25 млрд путем размещения облигаций - FashionNetwork Россия</t>
  </si>
  <si>
    <t>DL-moex-101851</t>
  </si>
  <si>
    <t>https://www.moex.com/n101851</t>
  </si>
  <si>
    <t>DL-moex-101830</t>
  </si>
  <si>
    <t>technical_filing</t>
  </si>
  <si>
    <t>RU000A104RC6</t>
  </si>
  <si>
    <t>https://www.moex.com/n101830</t>
  </si>
  <si>
    <t>Дополнительные условия проведения торгов облигациями серии CIB-СО-213 АО "Сбербанк КИБ" с 07 июля 2026 года</t>
  </si>
  <si>
    <t>DL-moex-101798</t>
  </si>
  <si>
    <t>004Р-07</t>
  </si>
  <si>
    <t>RU000A10FJQ4</t>
  </si>
  <si>
    <t>https://www.moex.com/n101798</t>
  </si>
  <si>
    <t>Дополнительные условия проведения торгов облигациями серии 004P-07 ПАО "Банк ПСБ"</t>
  </si>
  <si>
    <t>DL-moex-101795</t>
  </si>
  <si>
    <t>https://www.moex.com/n101795</t>
  </si>
  <si>
    <t>О внесении изменений в решение о выпуске биржевых облигаций в части сведений о представителе владельцев биржевых облигаций</t>
  </si>
  <si>
    <t>DL-faccb2ab896ed1d5</t>
  </si>
  <si>
    <t>Acquisition / disposal</t>
  </si>
  <si>
    <t>rejected</t>
  </si>
  <si>
    <t>M O N D I A R A</t>
  </si>
  <si>
    <t>https://news.mondiara.com/categories/186/posts/241739</t>
  </si>
  <si>
    <t>Акции Яндекса: куда падают котировки?</t>
  </si>
  <si>
    <t>DL-d278dd8790af9685</t>
  </si>
  <si>
    <t>YDEX</t>
  </si>
  <si>
    <t>Ведомости</t>
  </si>
  <si>
    <t>https://www.vedomosti.ru/investments/news/2026/07/06/1211561-mosbirzhe-sdelki</t>
  </si>
  <si>
    <t>На Мосбирже стали доступны сделки с облигациями и репо в долларах США - Ведомости</t>
  </si>
  <si>
    <t>DL-moex-101768</t>
  </si>
  <si>
    <t>https://www.moex.com/n101768</t>
  </si>
  <si>
    <t>Операции РЕПО с ЦК / с КСУ и сделки купли-продажи облигаций с расчётами в Специализированной валюте</t>
  </si>
  <si>
    <t>DL-moex-101755</t>
  </si>
  <si>
    <t>https://www.moex.com/n101755</t>
  </si>
  <si>
    <t>О проведении выкупа облигаций с 06 по 10 июля 2026 года</t>
  </si>
  <si>
    <t>DL-moex-101762</t>
  </si>
  <si>
    <t>https://www.moex.com/n101762</t>
  </si>
  <si>
    <t>О признании программы биржевых облигаций несостоявшейся и аннулировании её регистрации</t>
  </si>
  <si>
    <t>DL-39d2ffe37344900d</t>
  </si>
  <si>
    <t>Альфа-Банк</t>
  </si>
  <si>
    <t>https://alfabank.ru/alfa-investor/posts/t/0f76d7ad-de76-f111-91c8-0050569e1fd0/</t>
  </si>
  <si>
    <t>​​💼 АФК Система — заложила/продала Ozon, как меняются - Альфа-Банк</t>
  </si>
  <si>
    <t>DL-moex-101717</t>
  </si>
  <si>
    <t>Announced</t>
  </si>
  <si>
    <t>https://www.moex.com/n101717</t>
  </si>
  <si>
    <t>Московская биржа начала торги паями активно управляемого БПИФ на российские гособлигации</t>
  </si>
  <si>
    <t>DL-moex-101722</t>
  </si>
  <si>
    <t>4B02-1234-01000-B-005P</t>
  </si>
  <si>
    <t>https://www.moex.com/n101722</t>
  </si>
  <si>
    <t>Итоги выпуска биржевых облигаций</t>
  </si>
  <si>
    <t>DL-moex-101737</t>
  </si>
  <si>
    <t>4B02-01-16806-A-002P</t>
  </si>
  <si>
    <t>https://www.moex.com/n101737</t>
  </si>
  <si>
    <t>О регистрации выпуска биржевых облигаций, о включении его в Список ценных бумаг, допущенных к торгам и в Сегмент облигаций устойчивого развития Сектора устойчивого развития, и о присвоении указанным биржевым…</t>
  </si>
  <si>
    <t>DL-moex-101734</t>
  </si>
  <si>
    <t>https://www.moex.com/n101734</t>
  </si>
  <si>
    <t>О регистрации программы и проспекта биржевых облигаций</t>
  </si>
  <si>
    <t>DL-moex-101738</t>
  </si>
  <si>
    <t>https://www.moex.com/n101738</t>
  </si>
  <si>
    <t>О регистрации изменений в эмиссионные документы</t>
  </si>
  <si>
    <t>DL-moex-101663</t>
  </si>
  <si>
    <t>ООО "УК СГБ"</t>
  </si>
  <si>
    <t>RU000A10D7W9</t>
  </si>
  <si>
    <t>https://www.moex.com/n101663</t>
  </si>
  <si>
    <t>Информация о приобретении инвестиционных паёв ИПИФ "Синара - Валютные облигации" под управлением ООО "УК СГБ" (RU000A10D7W9)</t>
  </si>
  <si>
    <t>DL-moex-101666</t>
  </si>
  <si>
    <t>4B02-1233-01000-B-005P</t>
  </si>
  <si>
    <t>https://www.moex.com/n101666</t>
  </si>
  <si>
    <t>DL-moex-101684</t>
  </si>
  <si>
    <t>4B02-839-01481-B-001P</t>
  </si>
  <si>
    <t>https://www.moex.com/n101684</t>
  </si>
  <si>
    <t>О регистрации выпуска биржевых облигаций, о включении его в Список ценных бумаг, допущенных к торгам, и о присвоении указанным биржевым облигациям регистрационного номера</t>
  </si>
  <si>
    <t>DL-moex-101691</t>
  </si>
  <si>
    <t>https://www.moex.com/n101691</t>
  </si>
  <si>
    <t>DL-moex-101690</t>
  </si>
  <si>
    <t>4B02-829-01481-B-001P</t>
  </si>
  <si>
    <t>RU000A10F8Y1</t>
  </si>
  <si>
    <t>https://www.moex.com/n101690</t>
  </si>
  <si>
    <t>О признании выпусков облигаций несостоявшимися, об аннулировании регистрации выпусков, об исключении их из Списка ценных бумаг, допущенных к торгам</t>
  </si>
  <si>
    <t>DL-moex-101688</t>
  </si>
  <si>
    <t>4B02-09-50156-A-001P</t>
  </si>
  <si>
    <t>RU000A106J38</t>
  </si>
  <si>
    <t>https://www.moex.com/n101688</t>
  </si>
  <si>
    <t>О порядке приобретения облигаций серии 001Р-09 ПАО "ТрансФин-М" с 02 июля 2026 год</t>
  </si>
  <si>
    <t>DL-fbdcfe31695d48a2</t>
  </si>
  <si>
    <t>prospect.com.ru</t>
  </si>
  <si>
    <t>https://prospect.com.ru/news/6836117/vtb-poluchil-v-zalog-krupnyj-paket-aktsij-ozon-summa-sdelki-320-milliardov-rublej.html</t>
  </si>
  <si>
    <t>ВТБ получает в залог крупный пакет акций Озона в сделке на 300,0 млрд рублей | IF | 01.07.2026 - InvestFuture</t>
  </si>
  <si>
    <t>DL-3d3c82bb59e25b8e</t>
  </si>
  <si>
    <t>Финам</t>
  </si>
  <si>
    <t>https://www.finam.ru/publications/item/rynok-pytaetsya-rasti-aktsii-sistemy-ostayutsya-v-liderakh-padeniya-posle-sdelki-s-vtb-20260701-1023/</t>
  </si>
  <si>
    <t>Рынок пытается расти, акции «Системы» остаются в лидерах падения после сделки с ВТБ - Финам</t>
  </si>
  <si>
    <t>DL-moex-101632</t>
  </si>
  <si>
    <t>https://www.moex.com/n101632</t>
  </si>
  <si>
    <t>О порядке сбора заявок и заключения сделок при размещении облигаций серии ИОС-YDEX-BNR-1Y-001Р-808R ПАО "Сбербанк России" с 1 июля 2026 года</t>
  </si>
  <si>
    <t>DL-moex-101636</t>
  </si>
  <si>
    <t>26251RMFS</t>
  </si>
  <si>
    <t>SU26251RMFS7</t>
  </si>
  <si>
    <t>https://www.moex.com/n101636</t>
  </si>
  <si>
    <t>О проведении 01 июля 2026 года аукциона по размещению ОФЗ выпусков № 26251RMFS</t>
  </si>
  <si>
    <t>DL-moex-101641</t>
  </si>
  <si>
    <t>4B02-05-00354-B-006P</t>
  </si>
  <si>
    <t>RU000A10EH76</t>
  </si>
  <si>
    <t>https://www.moex.com/n101641</t>
  </si>
  <si>
    <t>О проведении 01 июля 2026 года размещения биржевых облигаций серии 006Р-05Р (Дополнительный выпуск № 6) "Газпромбанк" (АО)</t>
  </si>
  <si>
    <t>DL-moex-101644</t>
  </si>
  <si>
    <t>4B02-1232-01000-B-005P</t>
  </si>
  <si>
    <t>https://www.moex.com/n101644</t>
  </si>
  <si>
    <t>DL-e230736ec0b08733</t>
  </si>
  <si>
    <t>Traders Union</t>
  </si>
  <si>
    <t>https://tradersunion.com/ru/news/institutions/show/2532310-moscow-exchange-sberbank-bonds-ios-ydex/</t>
  </si>
  <si>
    <t>Московская биржа установила порядок размещения облигаций Сбербанка серии ИОС-YDEX-BNR-1Y-001Р-808R - Traders Union</t>
  </si>
  <si>
    <t>DL-c76896181d89cde6</t>
  </si>
  <si>
    <t>ВУШ завершил первый этап размещения облигаций</t>
  </si>
  <si>
    <t>БКС Экспресс</t>
  </si>
  <si>
    <t>https://bcs-express.ru/novosti-i-analitika/vush-zavershil-pervyi-etap-razmeshcheniia-obligatsii</t>
  </si>
  <si>
    <t>ВУШ завершил первый этап размещения облигаций - БКС Экспресс</t>
  </si>
  <si>
    <t>DL-moex-101536</t>
  </si>
  <si>
    <t>https://www.moex.com/n101536</t>
  </si>
  <si>
    <t>DL-moex-101565</t>
  </si>
  <si>
    <t>4B02-03-00265-L-001P</t>
  </si>
  <si>
    <t>https://www.moex.com/n101565</t>
  </si>
  <si>
    <t>DL-moex-101562</t>
  </si>
  <si>
    <t>4B02-01-00609-R-001P</t>
  </si>
  <si>
    <t>https://www.moex.com/n101562</t>
  </si>
  <si>
    <t>DL-moex-101561</t>
  </si>
  <si>
    <t>ПАО АФК "СИСТЕМА"</t>
  </si>
  <si>
    <t>4B02-14-01669-A-002P</t>
  </si>
  <si>
    <t>RU000A10FA72</t>
  </si>
  <si>
    <t>https://www.moex.com/n101561</t>
  </si>
  <si>
    <t>О проведении 30 июня 2026 года размещения биржевых облигаций серии 002Р-14 (Дополнительный выпуск № 1) ПАО АФК "СИСТЕМА"</t>
  </si>
  <si>
    <t>DL-moex-101559</t>
  </si>
  <si>
    <t>Акционерное общество "Сбербанк КИБ"</t>
  </si>
  <si>
    <t>6-521-01793-A-001P</t>
  </si>
  <si>
    <t>https://www.moex.com/n101559</t>
  </si>
  <si>
    <t>О порядке сбора заявок и заключения сделок при размещении облигаций CIB-SN-FX-001S-521 Акционерное общество "Сбербанк КИБ" с 30 июня 2026 года</t>
  </si>
  <si>
    <t>DL-884a90d63a74113a</t>
  </si>
  <si>
    <t>SpaceX</t>
  </si>
  <si>
    <t>Финансы Mail</t>
  </si>
  <si>
    <t>https://finance.mail.ru/article/vyipusk-obligatsij-spacex-na-25-mlrd-vyizval-opaseniya-investorov-69215522/</t>
  </si>
  <si>
    <t>Выпуск облигаций SpaceX на $25 млрд вызвал опасения инвесторов - Финансы Mail</t>
  </si>
  <si>
    <t>DL-b10ff92f48cadefa</t>
  </si>
  <si>
    <t>VKCO</t>
  </si>
  <si>
    <t>IPO</t>
  </si>
  <si>
    <t>https://www.finam.ru/publications/item/razmeshcheniya-aktsiy-v-ssha-v-1-polugodii-sostavili-rekordnye-251-mlrd-blagodarya-spacex-20260629-1601/</t>
  </si>
  <si>
    <t>Объем IPO и продаж акций в США в 1 полугодии составил рекордные $251 млрд благодаря SpaceX - Финам</t>
  </si>
  <si>
    <t>DL-4d8f7bcb385b1c88</t>
  </si>
  <si>
    <t>MTS Investor Relations</t>
  </si>
  <si>
    <t>https://ir.mts.ru/news_and_events/corporate_releases/details/742414</t>
  </si>
  <si>
    <t>DL-bfcdac2063ce29e4</t>
  </si>
  <si>
    <t>https://finance.mail.ru/article/molodyie-investoryi-uvelichili-vlozheniya-v-obligatsii-v-dva-raza-69215293/</t>
  </si>
  <si>
    <t>Молодые инвесторы увеличили вложения в облигации в два раза - Финансы Mail</t>
  </si>
  <si>
    <t>DL-3c400018ff8f7b5b</t>
  </si>
  <si>
    <t>Shares</t>
  </si>
  <si>
    <t>foreignpolicyjournal.com</t>
  </si>
  <si>
    <t>https://www.foreignpolicyjournal.com/2026/06/26/nebius-group-nasdaq-nbis-completes-eigen-ai-acquisition-analyst-lifts-stock-price-target-to-280/</t>
  </si>
  <si>
    <t>Nebius Group ( NASDAQ : NBIS ) Completes Eigen AI Acquisition , Analyst Lifts Stock Price Target To $280</t>
  </si>
  <si>
    <t>DL-moex-101473</t>
  </si>
  <si>
    <t>https://www.moex.com/n101473</t>
  </si>
  <si>
    <t>О регистрации проспекта биржевых облигаций</t>
  </si>
  <si>
    <t>DL-moex-101492</t>
  </si>
  <si>
    <t>https://www.moex.com/n101492</t>
  </si>
  <si>
    <t>DL-moex-101468</t>
  </si>
  <si>
    <t>https://www.moex.com/n101468</t>
  </si>
  <si>
    <t>DL-moex-101457</t>
  </si>
  <si>
    <t>https://www.moex.com/n101457</t>
  </si>
  <si>
    <t>О порядке сбора заявок и заключения сделок при размещении облигаций серии Б-1-403 Банк ВТБ (публичное акционерное общество) с 29 июня 2026 года</t>
  </si>
  <si>
    <t>DL-moex-101454</t>
  </si>
  <si>
    <t>https://www.moex.com/n101454</t>
  </si>
  <si>
    <t>О порядке приобретения облигаций серии 001P-04 ООО "АРЕНЗА-ПРО" с 29 июня 2026 год</t>
  </si>
  <si>
    <t>DL-moex-101451</t>
  </si>
  <si>
    <t>https://www.moex.com/n101451</t>
  </si>
  <si>
    <t>О проведении выкупа облигаций с 29 июня по 03 июля 2026 года</t>
  </si>
  <si>
    <t>DL-moex-101450</t>
  </si>
  <si>
    <t>https://www.moex.com/n101450</t>
  </si>
  <si>
    <t>Дополнительные условия проведения торгов по выкупу облигаций серии 003Р-02 ООО "Концерн "РОССИУМ" 26 июня 2026 года</t>
  </si>
  <si>
    <t>DL-bec65812ff9fcfae</t>
  </si>
  <si>
    <t>Selectel</t>
  </si>
  <si>
    <t>рефинансирования и инвестиций</t>
  </si>
  <si>
    <t>ComNews.ru</t>
  </si>
  <si>
    <t>https://www.comnews.ru/content/246003/2026-06-25/2026-w26/1008/selectel-razmestit-obligacii-5-mlrd-rub-dlya-refinansirovaniya-i-investiciy</t>
  </si>
  <si>
    <t>Selectel разместит облигации на 5 млрд руб.</t>
  </si>
  <si>
    <t>DL-7a721642a53e0f1d</t>
  </si>
  <si>
    <t>001Р-04; 001Р-05</t>
  </si>
  <si>
    <t>Yandex Investor Relations</t>
  </si>
  <si>
    <t>https://ir.yandex.ru/press-releases?year=2026&amp;id=19-06-2026-03</t>
  </si>
  <si>
    <t>DL-9092ffd6a36a0a81</t>
  </si>
  <si>
    <t>Норникель</t>
  </si>
  <si>
    <t>CNY</t>
  </si>
  <si>
    <t>Интерфакс</t>
  </si>
  <si>
    <t>https://news.google.com/rss/articles/CBMiUkFVX3lxTE1YcWRJT1pJS3JQYUlDcVBxQmRrd2JFXzdidEJQMkRoTFVIRlBDUnQ5ZjNSMFZGamhRQ1hoTXFwaUVQMW1PZldFWWhvSzdOdmtSQnfSAUtBVV95cUxQWkQ5UHd5NFJieHBKUTVCZURpX1dEWmM4a2FnOXJ3aUREYi04ZGFUclFMNUxBdU1EMFVYWUU4MlhCaXJfTy1NZlVNXzg?oc=5</t>
  </si>
  <si>
    <t>"Норникель" зафиксировал объем размещения облигаций на уровне 3 млрд юаней - Интерфакс</t>
  </si>
  <si>
    <t>DL-c0e4b0469b5eb473</t>
  </si>
  <si>
    <t>denial</t>
  </si>
  <si>
    <t>Denied</t>
  </si>
  <si>
    <t>Ozon</t>
  </si>
  <si>
    <t>Sber</t>
  </si>
  <si>
    <t>https://bcs-express.ru/novosti-i-analitika/gref-oproverg-dogovorennost-sbera-o-pokupke-doli-v-ozone</t>
  </si>
  <si>
    <t>Греф опроверг договоренность Сбера о покупке доли в Озоне - БКС Экспресс</t>
  </si>
  <si>
    <t>DL-5eba3b27a4e84dd3</t>
  </si>
  <si>
    <t>https://ir.yandex.ru/press-releases?year=2026&amp;id=02-06-2026-04</t>
  </si>
  <si>
    <t>DL-e08040bba3b952c1</t>
  </si>
  <si>
    <t>Rumor</t>
  </si>
  <si>
    <t>Островок</t>
  </si>
  <si>
    <t>https://www.finam.ru/publications/item/yandeks-stal-osnovnym-pretendentom-na-pokupku-ostrovka-20260528-0928/</t>
  </si>
  <si>
    <t>"Яндекс" стал основным претендентом на покупку "Островка" - Финам</t>
  </si>
  <si>
    <t>DL-54c26c1e05d520bd</t>
  </si>
  <si>
    <t>https://www.finam.ru/publications/item/posledniy-den-pokupki-aktsiy-ozona-pod-dividendy-25-maya-20260525-0652/</t>
  </si>
  <si>
    <t>25.05.26 Последний день покупки акций “Озона” под дивиденды - 25 мая - Финам</t>
  </si>
  <si>
    <t>DL-71b6decbb78f4293</t>
  </si>
  <si>
    <t>Equity issuance</t>
  </si>
  <si>
    <t>https://bcs-express.ru/novosti-i-analitika/aktsionery-ozon-utverdili-final-nye-dividendy-za-2025</t>
  </si>
  <si>
    <t>Акционеры Озона утвердили финальные дивиденды за 2025 - БКС Экспресс</t>
  </si>
  <si>
    <t>DL-38b5154e2b53df8c</t>
  </si>
  <si>
    <t>https://www.finam.ru/publications/item/otchetnosti-zaymera-bsp-i-sovkombanka-dividendnyy-vopros-u-ozona-i-md-medikal-osnovnye-sobytiya-15-maya-20260515-0900/</t>
  </si>
  <si>
    <t>Отчетности «Займера», БСП и «Совкомбанка», дивидендный вопрос у «Озона» и «МД Медикал» - основные события 15 мая 15.05.2026 - Финам</t>
  </si>
  <si>
    <t>DL-32f044efd41bc454</t>
  </si>
  <si>
    <t>https://news.google.com/rss/articles/CBMiUkFVX3lxTE1SRWp6YUhObThSanNWWnBCQjlnX0xPVW1fQzJPSlJxM3JxcVhVTWlJaWZVcW5VNXFTQjU0RkJ6cC0wem9DTUNLZWlXeXZmMDhyUlHSAUtBVV95cUxPaFhNLWM1eThHQVJpOEg0TEpxT1BjRk5IdTEyYmFOdzNCOEluQmtLU3pmcXViOW5PM1gwR3ZsT2RhZEVCLTkwQ1RMZk0?oc=5</t>
  </si>
  <si>
    <t>Трамп в I квартале совершал сделки с акциями Nvidia и Boeing - Интерфакс</t>
  </si>
  <si>
    <t>DL-71608263fecb5e53</t>
  </si>
  <si>
    <t>Делимобиль</t>
  </si>
  <si>
    <t>https://news.google.com/rss/articles/CBMiUkFVX3lxTE5rRHd6NXMzNkpDcVZDdVR4NXhZN185LXRRSDMzVzZiUGd4cmNqV1BydzRLTnh4cHJnU19qNnQ1X05XMDl6VnBjVlBXY0NUOUZ3VlHSAUtBVV95cUxQOHVvOS00aURkZ3lDUGZ6Sk9kYTVFSDJhcGNJQk1PVVR2ZFJwWnZlRGZ4eW85TS15QUs4bmkxOWUzQW5PbGpDeUVnOVk?oc=5</t>
  </si>
  <si>
    <t>"Делимобиль" перечислил в НРД средства для погашения выпуска облигаций на 1,9 млрд рублей - Интерфакс</t>
  </si>
  <si>
    <t>DL-2848bdd8b067faa2</t>
  </si>
  <si>
    <t>https://bcs-express.ru/novosti-i-analitika/iandeks-odobril-vykup-aktsii-na-50-mlrd-rublei</t>
  </si>
  <si>
    <t>Яндекс одобрил выкуп акций на 50 млрд рублей - БКС Экспресс</t>
  </si>
  <si>
    <t>DL-3d4a31cc3b7936d0</t>
  </si>
  <si>
    <t>Energy</t>
  </si>
  <si>
    <t>SberCIB</t>
  </si>
  <si>
    <t>https://sbercib.ru/publication/rezultati-ozon-dom-rf-dividendi-yandeksa-i-tatnefti-i-drugie-novosti-nedeli</t>
  </si>
  <si>
    <t>Результаты Ozon, ДОМ.</t>
  </si>
  <si>
    <t>DL-6bc0569f7ac374fe</t>
  </si>
  <si>
    <t>https://www.vedomosti.ru/finance/news/2026/04/27/1193355-putin-isklyuchil</t>
  </si>
  <si>
    <t>Путин исключил «Озон банк» из списка с запретом на сделки с акциями и долями - Ведомости</t>
  </si>
  <si>
    <t>DL-cc671fa6b14f8f28</t>
  </si>
  <si>
    <t>https://bcs-express.ru/novosti-i-analitika/ozon-bank-iskliuchen-iz-perechnia-bankov-s-aktsiiami-kotorykh-zapreshcheny-sdelki</t>
  </si>
  <si>
    <t>Ozon Банк исключен из перечня банков, с акциями которых запрещены сделки - БКС Экспресс</t>
  </si>
  <si>
    <t>DL-2d1ef3023240f32a</t>
  </si>
  <si>
    <t>Главпортал</t>
  </si>
  <si>
    <t>https://glavportal.com/news/putin-razreshil-sdelki-s-akciyami-ozon-banka</t>
  </si>
  <si>
    <t>Путин разрешил сделки с акциями «Озон банка» - Главпортал</t>
  </si>
  <si>
    <t>DL-dd21f961f579e55a</t>
  </si>
  <si>
    <t>Реальное время</t>
  </si>
  <si>
    <t>https://realnoevremya.ru/news/394463-s-ozon-banka-snyali-ogranicheniya-na-sdelki-s-akciyami-rasporyazhenie-putina</t>
  </si>
  <si>
    <t>С «Озон банка» сняли ограничения на сделки с акциями — распоряжение Путина - Реальное время</t>
  </si>
  <si>
    <t>DL-276fe11e133d5a4b</t>
  </si>
  <si>
    <t>Банковское обозрение</t>
  </si>
  <si>
    <t>https://bosfera.ru/press-release/ozon-bank-isklyuchen-iz-spiska-s-zapretom-na-sdelki-s-akciyami-i-dolyami</t>
  </si>
  <si>
    <t>Ozon Банк исключен из списка с запретом на сделки с акциями и долями - Банковское обозрение</t>
  </si>
  <si>
    <t>DL-0bceebeca9933dc3</t>
  </si>
  <si>
    <t>https://alfabank.ru/alfa-investor/t/obligatsii-ozona-zarabotay-na-marketpleyse/</t>
  </si>
  <si>
    <t>Облигации Озона: заработай на маркетплейсе - Альфа-Банк</t>
  </si>
  <si>
    <t>DL-e65aa610a439e531</t>
  </si>
  <si>
    <t>https://expert.ru</t>
  </si>
  <si>
    <t>https://expert.ru/news/aktsionery-yandeksa-utverdili-dividendy-za-2025-god-v-razmere-110-rubley</t>
  </si>
  <si>
    <t>Акционеры «Яндекса» утвердили дивиденды за 2025 год в размере 110 рублей - https://expert.ru</t>
  </si>
  <si>
    <t>DL-0e547964381c1356</t>
  </si>
  <si>
    <t>RB.RU</t>
  </si>
  <si>
    <t>https://rb.ru/news/yandeks-odobril-dividendy-po-itogam-2025-go-vyplaty-sostavyat-110-za-akciyu-pochti-na-40-vyshe-chem-v-proshlom-godu/</t>
  </si>
  <si>
    <t>Яндекс утвердил дивиденды по итогам 2025 года — выплаты составят 110 ₽ за акцию - RB.RU</t>
  </si>
  <si>
    <t>DL-c10daba8af8e67d8</t>
  </si>
  <si>
    <t>Точка Банка</t>
  </si>
  <si>
    <t>VK</t>
  </si>
  <si>
    <t>https://rb.ru/news/vk-prodal-25-akcij-tochka-banka-sdelku-ocenili-v-212-mlrd-vdvoe-vyshe-iznachalnoj-stoimosti-bumag/</t>
  </si>
  <si>
    <t>VK продал 25% акций Точка Банка: сделку оценили в 21,2 млрд ₽ — вдвое выше изначальной стоимости бумаг - RB.RU</t>
  </si>
  <si>
    <t>DL-4774de17c61c14e4</t>
  </si>
  <si>
    <t>https://www.finam.ru/publications/item/dvoynoe-razmeshchenie-obligatsiy-vk-chego-zhdat-chastnym-investoram-20260410-1829/</t>
  </si>
  <si>
    <t>Двойное размещение облигаций VK.</t>
  </si>
  <si>
    <t>DL-87f81143148d7276</t>
  </si>
  <si>
    <t>https://alfabank.ru/alfa-investor/posts/t/1238104e-fa34-f111-91c8-0050569ebac3/</t>
  </si>
  <si>
    <t>Мы держим Ozon в портфеле роста, но не в дивидендном Хотя - Альфа-Банк</t>
  </si>
  <si>
    <t>DL-1363a495ec14164a</t>
  </si>
  <si>
    <t>https://expert.ru/news/ozon-anonsiroval-razmeshchenie-obligatsiy-na-15-mlrd-rubley</t>
  </si>
  <si>
    <t>Ozon анонсировал размещение облигаций на 15 млрд рублей - https://expert.ru</t>
  </si>
  <si>
    <t>DL-12855c6275c496fe</t>
  </si>
  <si>
    <t>https://bcs-express.ru/novosti-i-analitika/ozon-planiruet-debiutnoe-razmeshchenie-birzhevykh-obligatsii</t>
  </si>
  <si>
    <t>Озон планирует дебютное размещение биржевых облигаций - БКС Экспресс</t>
  </si>
  <si>
    <t>DL-d39c99c4c2dfa45c</t>
  </si>
  <si>
    <t>vk.company</t>
  </si>
  <si>
    <t>https://vk.company/investors/info/12271/</t>
  </si>
  <si>
    <t>VK объявляет о планах по размещению биржевых облигаций объемом 10 млрд рублей - vk.company</t>
  </si>
  <si>
    <t>DL-b9babb23f2c4462c</t>
  </si>
  <si>
    <t>https://www.finam.ru/publications/item/vk-razmeshchaet-obligatsii-kak-eto-otrazitsya-na-investorakh-v-aktsii-20260330-1740/</t>
  </si>
  <si>
    <t>VK размещает облигации: как это отразится на инвесторах в акции 30.03.2026 - Финам</t>
  </si>
  <si>
    <t>DL-238a83afad61e805</t>
  </si>
  <si>
    <t>Selectel Newsroom</t>
  </si>
  <si>
    <t>https://selectel.ru/about/newsroom/news/selectel-razmestil-novyj-vypusk-obligaczij-i-privlek-7-milliardov-rublej-na-razvitie-biznesa/</t>
  </si>
  <si>
    <t>DL-e400cd99f963631a</t>
  </si>
  <si>
    <t>https://ir.yandex.ru/press-releases?year=2025&amp;id=01-13-03-2025</t>
  </si>
  <si>
    <t>Яндекс планирует выпустить биржевые облигации</t>
  </si>
  <si>
    <t>DL-251bf0d0b7b600c1</t>
  </si>
  <si>
    <t>https://selectel.ru/about/newsroom/news/selectel-soobshchaet-o-priobretenii-oblachnogo-provajdera-servers-ru/</t>
  </si>
  <si>
    <t>Selectel сообщает о приобретении облачного провайдера Servers.ru</t>
  </si>
  <si>
    <t>DL-aa5a93661389a659</t>
  </si>
  <si>
    <t>Floating</t>
  </si>
  <si>
    <t>2.5 года</t>
  </si>
  <si>
    <t>финансирования инвестиционной программы</t>
  </si>
  <si>
    <t>https://selectel.ru/about/newsroom/news/selectel-planiruet-razmeshhenie-obligaczij-obemom-3-milliarda-rublej-2/</t>
  </si>
  <si>
    <t>Selectel планирует размещение облигаций объемом 3 миллиарда рублей</t>
  </si>
  <si>
    <t>DL-c898acc93d60813b</t>
  </si>
  <si>
    <t>2 года</t>
  </si>
  <si>
    <t>https://selectel.ru/about/newsroom/news/selectel-na-fone-povyshennogo-sprosa-na-obligaczii-chetvertogo-vypuska-uvelichil-obem-razmeshheniya-do-4-mlrd-rublej/</t>
  </si>
  <si>
    <t>Selectel на фоне повышенного спроса на облигации четвертого выпуска увеличил объем размещения до 4 млрд рублей</t>
  </si>
  <si>
    <t>DL-3b4a4419ab6b81bf</t>
  </si>
  <si>
    <t>https://selectel.ru/about/newsroom/news/selectel-planiruet-razmeshhenie-obligaczij-obemom-3-milliarda-rublej/</t>
  </si>
  <si>
    <t>DL-0242cf80b3f97c9c</t>
  </si>
  <si>
    <t>25% провайдера IT-инфраструктуры Selectel</t>
  </si>
  <si>
    <t>Инвестиционный фонд Tier 5</t>
  </si>
  <si>
    <t>https://selectel.ru/about/newsroom/news/investicionnyj-fond-tier-5-priobrel-25-provajdera-it-infrastruktury-selectel/</t>
  </si>
  <si>
    <t>Инвестиционный фонд Tier 5 приобрел 25% провайдера IT-инфраструктуры Selectel</t>
  </si>
  <si>
    <t>CURATED-MA-CISCO-SPLUNK-2023</t>
  </si>
  <si>
    <t>Splunk</t>
  </si>
  <si>
    <t>Cisco</t>
  </si>
  <si>
    <t>Public shareholders</t>
  </si>
  <si>
    <t>United States</t>
  </si>
  <si>
    <t>Cash</t>
  </si>
  <si>
    <t>Create a scaled security and observability platform</t>
  </si>
  <si>
    <t>Splunk FY2023 Form 10-K</t>
  </si>
  <si>
    <t>Audited GAAP revenue; EBITDA not calculated because the transaction announcement disclosed equity value rather than EV</t>
  </si>
  <si>
    <t>Calculated from disclosed EV and latest audited financials available at announcement</t>
  </si>
  <si>
    <t>Cisco transaction announcement</t>
  </si>
  <si>
    <t>https://investor.cisco.com/news/news-details/2023/Cisco-to-Acquire-Splunk-to-Help-Make-Organizations-More-Secure-and-Resilient-in-an-AI-Powered-World/default.aspx</t>
  </si>
  <si>
    <t>Cisco acquired Splunk in an all-cash transaction</t>
  </si>
  <si>
    <t>CURATED-MA-BROADCOM-VMWARE-2022</t>
  </si>
  <si>
    <t>VMware</t>
  </si>
  <si>
    <t>Broadcom</t>
  </si>
  <si>
    <t>Cash and shares</t>
  </si>
  <si>
    <t>Barclays, Morgan Stanley, Citi, Goldman Sachs, J.P. Morgan, BofA Securities</t>
  </si>
  <si>
    <t>Scale Broadcom's infrastructure software business and expand enterprise software exposure</t>
  </si>
  <si>
    <t>VMware FY2022 Form 10-K</t>
  </si>
  <si>
    <t>GAAP EBITDA calculated as operating income plus depreciation and definite-lived intangible amortization</t>
  </si>
  <si>
    <t>Broadcom transaction announcement</t>
  </si>
  <si>
    <t>https://investors.broadcom.com/news-releases/news-release-details/broadcom-acquire-vmware-approximately-61-billion-cash-and-stock</t>
  </si>
  <si>
    <t>Broadcom acquired VMware in a cash-and-stock transaction</t>
  </si>
  <si>
    <t>CURATED-MA-THOMA-BRAVO-ANAPLAN-2022</t>
  </si>
  <si>
    <t>Anaplan</t>
  </si>
  <si>
    <t>Thoma Bravo</t>
  </si>
  <si>
    <t>Accelerate Anaplan's connected planning platform as a private company</t>
  </si>
  <si>
    <t>Anaplan FY2022 Form 10-K</t>
  </si>
  <si>
    <t>Audited GAAP revenue; filed after announcement and transaction EV was not separately disclosed</t>
  </si>
  <si>
    <t>Calculated from disclosed EV and audited financials; report became available after announcement</t>
  </si>
  <si>
    <t>Anaplan completion announcement</t>
  </si>
  <si>
    <t>https://www.anaplan.com/news/thoma-bravo-completes-acquisition-of-anaplan/</t>
  </si>
  <si>
    <t>Thoma Bravo acquired Anaplan in an all-cash transaction</t>
  </si>
  <si>
    <t>CURATED-MA-VISTA-CITRIX-2022</t>
  </si>
  <si>
    <t>Citrix Systems</t>
  </si>
  <si>
    <t>Vista Equity Partners and Evergreen Coast Capital</t>
  </si>
  <si>
    <t>Take Citrix private and combine it with TIBCO Software</t>
  </si>
  <si>
    <t>Citrix FY2021 Form 10-K</t>
  </si>
  <si>
    <t>Audited GAAP revenue; filed after announcement and therefore excluded from headline medians</t>
  </si>
  <si>
    <t>Citrix Form 10-K transaction disclosure</t>
  </si>
  <si>
    <t>https://www.sec.gov/Archives/edgar/data/877890/000087789022000019/ctxs-20211231.htm</t>
  </si>
  <si>
    <t>Vista Equity Partners and Evergreen Coast Capital acquired Citrix Systems</t>
  </si>
  <si>
    <t>CURATED-MA-MICROSOFT-ACTIVISION-2022</t>
  </si>
  <si>
    <t>Activision Blizzard</t>
  </si>
  <si>
    <t>Microsoft</t>
  </si>
  <si>
    <t>Goldman Sachs, Allen &amp; Company, Simpson Thacher, Skadden</t>
  </si>
  <si>
    <t>Expand Microsoft Gaming across mobile, PC, console and cloud</t>
  </si>
  <si>
    <t>Activision Blizzard FY2020 Form 10-K</t>
  </si>
  <si>
    <t>Audited GAAP revenue and operating income; EBITDA intentionally not calculated without separately sourced D&amp;A</t>
  </si>
  <si>
    <t>Microsoft transaction announcement</t>
  </si>
  <si>
    <t>https://news.microsoft.com/source/2022/01/18/microsoft-to-acquire-activision-blizzard-to-bring-the-joy-and-community-of-gaming-to-everyone-across-every-device/</t>
  </si>
  <si>
    <t>Microsoft acquired Activision Blizzard in an all-cash transaction</t>
  </si>
  <si>
    <t>CURATED-MA-SALESFORCE-SLACK-2020</t>
  </si>
  <si>
    <t>Slack Technologies</t>
  </si>
  <si>
    <t>Salesforce</t>
  </si>
  <si>
    <t>Combine Salesforce Customer 360 with enterprise collaboration</t>
  </si>
  <si>
    <t>Slack FY2020 Form 10-K</t>
  </si>
  <si>
    <t>Audited GAAP revenue; negative operating result, so EV/EBITDA is N/M</t>
  </si>
  <si>
    <t>Salesforce transaction announcement</t>
  </si>
  <si>
    <t>https://www.salesforce.com/news/press-releases/2020/12/01/salesforce-definitive-agreement-update/</t>
  </si>
  <si>
    <t>Salesforce acquired Slack Technologies in a cash-and-stock transaction</t>
  </si>
  <si>
    <t>CURATED-MA-AMD-XILINX-2020</t>
  </si>
  <si>
    <t>Xilinx</t>
  </si>
  <si>
    <t>AMD</t>
  </si>
  <si>
    <t>Create a scaled high-performance and adaptive computing company</t>
  </si>
  <si>
    <t>Xilinx FY2020 Form 10-K</t>
  </si>
  <si>
    <t>Audited GAAP revenue; transaction EV was not separately disclosed</t>
  </si>
  <si>
    <t>AMD transaction announcement</t>
  </si>
  <si>
    <t>https://ir.amd.com/news-events/press-releases/detail/977/amd-to-acquire-xilinx-creating-the-industrys-high-performance-computing-leader</t>
  </si>
  <si>
    <t>AMD acquired Xilinx in an all-stock transaction</t>
  </si>
  <si>
    <t>CURATED-MA-SALESFORCE-TABLEAU-2019</t>
  </si>
  <si>
    <t>Tableau Software</t>
  </si>
  <si>
    <t>Combine CRM and analytics platforms to accelerate digital transformation</t>
  </si>
  <si>
    <t>Tableau FY2018 Form 10-K</t>
  </si>
  <si>
    <t>Audited GAAP revenue rounded to the nearest USD million; EBITDA not calculated without separately sourced D&amp;A</t>
  </si>
  <si>
    <t>https://www.salesforce.com/news/press-releases/2019/06/10/salesforce-signs-definitive-agreement-to-acquire-tableau/</t>
  </si>
  <si>
    <t>Salesforce acquired Tableau Software in an all-stock transaction</t>
  </si>
  <si>
    <t>CURATED-MA-IBM-RED-HAT-2018</t>
  </si>
  <si>
    <t>Red Hat</t>
  </si>
  <si>
    <t>IBM</t>
  </si>
  <si>
    <t>Build a leading hybrid cloud platform using open-source technology</t>
  </si>
  <si>
    <t>Red Hat FY2018 Form 10-K</t>
  </si>
  <si>
    <t>Audited GAAP revenue and operating income; EBITDA not calculated without separately sourced D&amp;A</t>
  </si>
  <si>
    <t>IBM transaction announcement</t>
  </si>
  <si>
    <t>https://uk.newsroom.ibm.com/2018-10-28-IBM-To-Acquire-Red-Hat-Completely-Changing-The-Cloud-Landscape-And-Becoming-Worlds-1-Hybrid-Cloud-Provider</t>
  </si>
  <si>
    <t>IBM acquired Red Hat in an all-cash transaction</t>
  </si>
  <si>
    <t>CURATED-MA-MICROSOFT-LINKEDIN-2016</t>
  </si>
  <si>
    <t>LinkedIn</t>
  </si>
  <si>
    <t>Combine the professional cloud with the professional network</t>
  </si>
  <si>
    <t>LinkedIn FY2015 Form 10-K</t>
  </si>
  <si>
    <t>GAAP EBITDA proxy calculated as operating loss plus reported depreciation and amortization</t>
  </si>
  <si>
    <t>https://news.microsoft.com/source/2016/06/13/microsoft-to-acquire-linkedin/</t>
  </si>
  <si>
    <t>Microsoft acquired LinkedIn in an all-cash transaction</t>
  </si>
  <si>
    <t>FINANCIALS</t>
  </si>
  <si>
    <t>Audited inputs with metric period, availability date and source</t>
  </si>
  <si>
    <t>Target</t>
  </si>
  <si>
    <t>Deal Date</t>
  </si>
  <si>
    <t>Available At</t>
  </si>
  <si>
    <t>Operating Income</t>
  </si>
  <si>
    <t>Depreciation</t>
  </si>
  <si>
    <t>Amortization</t>
  </si>
  <si>
    <t>Source</t>
  </si>
  <si>
    <t>Source URL</t>
  </si>
  <si>
    <t>https://www.sec.gov/Archives/edgar/data/1353283/000135328323000011/splk-20230131.htm</t>
  </si>
  <si>
    <t>https://www.sec.gov/Archives/edgar/data/1124610/000112461022000009/vmw-20220128.htm</t>
  </si>
  <si>
    <t>https://www.sec.gov/Archives/edgar/data/1540755/000154075522000018/plan-20220131.htm</t>
  </si>
  <si>
    <t>https://www.sec.gov/Archives/edgar/data/718877/000162828021002828/atvi-20201231.htm</t>
  </si>
  <si>
    <t>https://www.sec.gov/Archives/edgar/data/1764925/000176492520000251/a1312010-k.htm</t>
  </si>
  <si>
    <t>https://www.sec.gov/Archives/edgar/data/743988/000074398820000020/xlnx328202010k.htm</t>
  </si>
  <si>
    <t>https://www.sec.gov/Archives/edgar/data/1303652/000130365219000007/a10k2018.htm</t>
  </si>
  <si>
    <t>https://www.sec.gov/Archives/edgar/data/1087423/000108742318000010/rht-10kq4fy18.htm</t>
  </si>
  <si>
    <t>https://www.sec.gov/Archives/edgar/data/1271024/000127102416000035/a20151231-10xkdocument.htm</t>
  </si>
  <si>
    <t>MULTIPLES</t>
  </si>
  <si>
    <t>Only approved M&amp;A with contemporaneously available financials enters the model median</t>
  </si>
  <si>
    <t>EV Currency</t>
  </si>
  <si>
    <t>Available at announcement</t>
  </si>
  <si>
    <t>Model Eligible</t>
  </si>
  <si>
    <t>Notes</t>
  </si>
  <si>
    <t>NO</t>
  </si>
  <si>
    <t>YES</t>
  </si>
  <si>
    <t>SOURCES &amp; QA</t>
  </si>
  <si>
    <t>One row per canonical publication; raw URL representations preserve discovery lineage</t>
  </si>
  <si>
    <t>Publication / Publisher</t>
  </si>
  <si>
    <t>Canonical Type</t>
  </si>
  <si>
    <t>Canonical URL</t>
  </si>
  <si>
    <t>Published</t>
  </si>
  <si>
    <t>Representation Count</t>
  </si>
  <si>
    <t>Representation URLs</t>
  </si>
  <si>
    <t>official_exchange</t>
  </si>
  <si>
    <t>archive_discovery</t>
  </si>
  <si>
    <t>https://ru.fashionnetwork.com/news/Amazon-namerena-privlech%CA%B9-25-mlrd-putem-razmeshcheniya-obligatsiy,1850796.html
https://news.google.com/rss/articles/CBMiugFBVV95cUxON0Y2ZTlYZ0VCQU4wYWUzZEhxX2gxMlcxWThsSW1jaEJuYTk4b0g5QS1lTUM2V3lBWVRmeGM1YnRHZ28zT2ZCcGwzS3REM1JaYW4yYXRHbHpFVlNjV2VubUlIZTlXUzRpZk9XNU42UGFHX2dYcFVQb3RMYlhYN0xsRHFRejRSNEY2WFlBblNmclVSWmZPcnRsSlcxQm5DWWdqOUpBYjlsMXpXRmk3YXgzekNLN2ZzN2VwRlE?oc=5</t>
  </si>
  <si>
    <t>public_news</t>
  </si>
  <si>
    <t>https://www.vedomosti.ru/investments/news/2026/07/06/1211561-mosbirzhe-sdelki
https://news.google.com/rss/articles/CBMigwFBVV95cUxNeHVnbUZPZ1QwRW1RNmk5UXFXbzdqazNPVERsLS1UbElfOWkwaEtVaTV2WUlsNnhwVGJkSVE1R0tnOEpJSXZHWkNJcEhuN1N6ZXlpanYwanNSb3FWdElYMFZOemVLNTczaWVYcHZlQzBCN01FbjFKWGdFQkt2V2IwRk81MA?oc=5</t>
  </si>
  <si>
    <t>https://bcs-express.ru/profit/post/c04797af-4e2e-4910-8d54-2d182d38008c</t>
  </si>
  <si>
    <t>https://bcs-express.ru/profit/post/c04797af-4e2e-4910-8d54-2d182d38008c
https://news.google.com/rss/articles/CBMie0FVX3lxTFBKQjBIVS1HWGJtaWhwQU1tQTNveVVPQWhxY3c0VGQxLXBLSXRHWU0tQnJGdGNFa2p5aW9uM19ERkpUVVRPWURMVmFhR1kwZ19SSUlCOWRTSHVOMmJ1WnN2b0lueFRHS1lHeTUtMnV5andwS1pzejBpQy1OMA?oc=5</t>
  </si>
  <si>
    <t>Investing.com</t>
  </si>
  <si>
    <t>https://ru.investing.com/analysis/article-200333133</t>
  </si>
  <si>
    <t>Frank Media</t>
  </si>
  <si>
    <t>https://news.google.com/rss/articles/CBMiQkFVX3lxTE4xQlkzTklhYTlOaGd1ZXM0QUxfQ1htR29nMm1iX1JpWWlSb1l6ZzBGRUEwMDdRVzUyRDUxcmlZUEtVdw?oc=5</t>
  </si>
  <si>
    <t>InvestFuture</t>
  </si>
  <si>
    <t>https://investfuture.ru/articles/vtb-poluchaet-v-zalog-krupniy-paket-aktsiy-ozona-v-sdelke-na-300-0-mlrd-rubley-37123084</t>
  </si>
  <si>
    <t>https://news.google.com/rss/articles/CBMivAFBVV95cUxOSVducUpMYTF6UkQtcDM2WkZQbERaLUtvSE5tVjFlV29QOEtobm9YWWlSUG0tU3F3NDFmQXNEVU1uc1Z4WWt4MVpNTTlfNDdaVU1NYW9nVUxBRnN3QkN0bE5WTW45VXlCc2UzX2tCazd5dmRuUXU0MEo1cUNSVHVUZ2dtbnRDTFU0RFdSNnNRNElnUGVSMGFLV3V6U3BIaDhzSFNWbUxBZEFvaU1vQng2VVJveDlNMzRLNzhpQQ?oc=5</t>
  </si>
  <si>
    <t>https://news.google.com/rss/articles/CBMirwFBVV95cUxNUUFGSWNSdEZMRWFsMmN4THZGWWMtcUpNc1JTTk8waEFwRWpNUG5zQ1JqeUlSWUVwaEJuU1pQeFd0ajJ4LXEyZ2hpUVBVRW9NT2lMSlRjRm41Rm52UTRXVVVGQ1pQcmxvUml3enBUT05KT1pxNU5JdVBDamV5TjFxd3BzazZPYmpIaHJyN3FPN2ExWGNlVjItSmJyTmxtWHZkWlBpRjJBNU8tTk0zUVlv?oc=5</t>
  </si>
  <si>
    <t>public_web</t>
  </si>
  <si>
    <t>https://www.finam.ru/publications/item/rynok-pytaetsya-rasti-aktsii-sistemy-ostayutsya-v-liderakh-padeniya-posle-sdelki-s-vtb-20260701-1023/
https://news.google.com/rss/articles/CBMi1wFBVV95cUxQWTljcnZhaklYTlhua0ZmR2NLOF96U0p5YzhoOEVMNjRmTURpbmdFNHFzZEE5eEtIa1UyaHRUd0U4SmNhbEZtQ09ZVmxzdXNHZUk1dXZrRkdOenNQQXRXSTB4SG94RmhJWjAyU25VdnkyYlhMV3d2ZTFPR2FIVjVDWWNoZ2pjYldlUHN3dUxrUzBlMzJyMFFGRVNpOGZsWkdjN2paOG01anhlVVBxR29ncktDYzE5SmduYkt4S0o0VWdBM0FndTd3TlNZamtBdW05NTM2c2xvUQ?oc=5</t>
  </si>
  <si>
    <t>public_deal_news</t>
  </si>
  <si>
    <t>https://bcs-express.ru/novosti-i-analitika/vush-zavershil-pervyi-etap-razmeshcheniia-obligatsii
https://news.google.com/rss/articles/CBMimwFBVV95cUxNRV9jMHp5WjVNUWp0Wk0ydlNWT0NhcXVqaldIcVNJbXBBaTBWcW9nTUo5ZnlleF9WOFUxUmVqUGlfNlVObGVmTHNMNVlGenZEUXdmSE1Xa3RDWkpwXy1tZjdyXzdFbUw1SDdpQ2lQOF80Q0pFNmZmVjh1Q2xsU0NoX3VZUjVCSGFjNWZkeGdOSlVoYzFHOWtFeXptSQ?oc=5</t>
  </si>
  <si>
    <t>https://finance.mail.ru/article/vyipusk-obligatsij-spacex-na-25-mlrd-vyizval-opaseniya-investorov-69215522/
https://news.google.com/rss/articles/CBMiqwFBVV95cUxPWUR4bzZnZ2lmZG50NjRhZ0xlODRSRVNicW9xVkszWHFPQ2dqSUNzWHVzbG9qVkU3bmRBUWp4QlF1X3lBY0dycVBodG94YVhyalVscktnY0VOeVpBN1pzVXFJa1Faa3JxVzhCNkVaRk9ibThTTFpEeDRyUlgxdDlRc25WX21lZ0lCQkU0eG5xakFwTW5hSmE1YmpzS0xqdW8yUm5YcnVUREJuRW8?oc=5</t>
  </si>
  <si>
    <t>https://www.finam.ru/publications/item/razmeshcheniya-aktsiy-v-ssha-v-1-polugodii-sostavili-rekordnye-251-mlrd-blagodarya-spacex-20260629-1601/
https://news.google.com/rss/articles/CBMi2wFBVV95cUxQMUluQnhHVzdTZ2hQMG5XNU9YQzl1bmYySTlyTzllSURESWR5dWZIbXJ1Q2lyWFRpSm5QcjNpazQzeVFlbm9OanNzbzl3bU1ZQnV2ZnpjM3B1eTJuX1lwYlFIa01aRU1YWjFCUmhycUpuQTF1bXQwT1Q2RGJsUzhUT2ZJSmdXTUtTYVZjLW4tWllONS0yQXg1WjJuVER6NVRxUjh1d0l1TTQ0TUZOcTBINlRETEVreHA4ZF8zWTRTWU1vTmdOYWkzMlVqVkJFTDJoX1dFaWdfN04zdE0?oc=5</t>
  </si>
  <si>
    <t>https://finance.mail.ru/article/molodyie-investoryi-uvelichili-vlozheniya-v-obligatsii-v-dva-raza-69215293/
https://news.google.com/rss/articles/CBMiqwFBVV95cUxNenMyZU1IMU1iN1IxdTdWZG9ER2NzWGw5dUdBWkRpWDFhbWVHcDB3bUZNNmlFTzA5YUQxSWozdFFPQ3NlNjd3TzNkdm1CN1BOTzNkRWZuS0lYbTNPSk5LckF2U1hFd3FrVDYxUHNaQ3ltSk5JVFlEU0lyMFZkSkdLVWxaaENWeHMxdmtjVDd6UVdVWExocllTZkRnUnhuVWxocjBoUXBPMUxncFk?oc=5</t>
  </si>
  <si>
    <t>https://www.finam.ru/publications/item/yandeks-vnov-vykhodit-na-dolgovoy-rynok-razbor-dvoynogo-razmeshcheniya-obligatsiy-20260608-1729/</t>
  </si>
  <si>
    <t>https://www.finam.ru/publications/item/yandeks-vnov-vykhodit-na-dolgovoy-rynok-razbor-dvoynogo-razmeshcheniya-obligatsiy-20260608-1729/
https://news.google.com/rss/articles/CBMi0AFBVV95cUxOSmlOMWRURDFvUlZqYktKazJXOFhWR1ZMamNuTGF2QlJ0YmIxTmF6RDMtSHF1Y2RTRkc5QWlnZXQ3WUdUMTB4QUNzUy0zT3I2eGJZSW1DWUxaVDlvR1lrNVhZZ3kybDNrb0tXd0FqMkxHQXNWRFhjcFp0MUI3alRKN1BWdlBSN2V2VWphOUxBQkNjc0l1UDF4WTRKZXkxNHlzSmhIRkhmR2pXc1pKLVV4MzJIN0pLZlVkQ3JvZ2d4aFphcXJkd0F3Z1VKYmdPUUdJ?oc=5</t>
  </si>
  <si>
    <t>https://investfuture.ru/articles/yandeks-razmeschaet-birzhevye-obligatsii-na-30-0-mlrd-rub-s-kuponami-k-klyuchevoy-stavke-1180967705</t>
  </si>
  <si>
    <t>https://investfuture.ru/articles/yandeks-razmeschaet-birzhevye-obligatsii-na-30-0-mlrd-rub-s-kuponami-k-klyuchevoy-stavke-1180967705
https://news.google.com/rss/articles/CBMizAFBVV95cUxQREdVRzA0SXpMZ3ZsVU94SUxuZmVfeVpfeXYxd3hLLUdnZVNndnNNeThWRkF5NTFUMWhETEhLTmlUb3FqdlFYcjJiTE9DdDNlVWdRY2tIVWswUkkwS2dDd0NaemJuaVlSNUg1LUpOc01IZlVmUEhZeDd0czlkQUp6anV6dDVZT1JZMDd3QXNRWWNBOVhTdDVDVVpmMmdRTnJBNWVORXMtRF9saTNjUEMwUm0yZkt3UWNrZ0ZPT1pidVV4bWo4bWw0VkZ1VmE?oc=5</t>
  </si>
  <si>
    <t>https://bcs-express.ru/novosti-i-analitika/gref-oproverg-dogovorennost-sbera-o-pokupke-doli-v-ozone
https://news.google.com/rss/articles/CBMioAFBVV95cUxQM0RKYTRnLW8xX0tVdnh1S3RBQ25IUTNrRGtWSTRudTJVU3A3UXpmZjZCR2ItX2NQNmN1aXdPYUpDN0paWHBfUjBNd2xrWWl6Mk9Zel9MREpqcXl1RUpoUXB2MWNPdFBoYV94Mm0zNkVtcVZFM050R2Jqc2ZKQVdlbkVhVmhuNXZpQWd5STAzOW9fYndtQTBpM0JLTWJmMjlq?oc=5</t>
  </si>
  <si>
    <t>Сибирское информационное агентство</t>
  </si>
  <si>
    <t>https://sia.ru/?section\=484\&amp;action\=show_news\&amp;id\=16828609</t>
  </si>
  <si>
    <t>https://sia.ru/?section\=484\&amp;action\=show_news\&amp;id\=16828609
https://news.google.com/rss/articles/CBMiZ0FVX3lxTE9USzZyMG9pZVA0SGstbWJZRGRwOGxWLTNrc0Vva0xDU1lJV3ZlUDRGTURxZXd0LVVUZXFELWdzM2tVVHB3MHlHNjQzSDFyN3JnbHRRYlFnQnJjX1pqMzB5V3dGTnBUcGc?oc=5</t>
  </si>
  <si>
    <t>RB.ru</t>
  </si>
  <si>
    <t>https://rb.ru/news/sber-mozhet-kupit-akcii-v-ozon-na-30-mlrd-investkompaniya-afk-sistema-otricaet-informaciyu-o-prodazhe-doli/</t>
  </si>
  <si>
    <t>https://rb.ru/news/sber-mozhet-kupit-akcii-v-ozon-na-30-mlrd-investkompaniya-afk-sistema-otricaet-informaciyu-o-prodazhe-doli/
https://news.google.com/rss/articles/CBMixAFBVV95cUxOZGNTQll0aVZOSDFubmt0bU5BdWNXNVA0WFZaOFdKa3B1VkctYXdkU25tLVdQSlNjNjFBYzA0ZzFYbVZKRnNKMk9Cb3RkSFYtaVFUR0JVc0pMNkNFUnFaeUdJX1JKRWlqMUZKeHo3UTZNaDU3LUc2RWxDd2FMYTUyUTEtY1dhcHFUVlJ4ZDlDS19SVkF5a0tqS0duRkljSWNNN0NLajJrSDZVdDNNR2ZfNVlyTVBvb0xFOXdFYmtpb2ZjTXRi?oc=5</t>
  </si>
  <si>
    <t>https://alfabank.ru/alfa-investor/posts/t/2af58b47-265b-f111-91c6-0050569e1fd0/</t>
  </si>
  <si>
    <t>https://alfabank.ru/alfa-investor/posts/t/06d3da91-dd5a-f111-91c6-0050569e1fd0/</t>
  </si>
  <si>
    <t>https://www.finam.ru/publications/item/aktsii-afk-sistema-podskochili-na-7-na-soobshcheniyakh-o-pokupke-doli-ozona-strukturami-sbera-20260528-1910/</t>
  </si>
  <si>
    <t>https://www.finam.ru/publications/item/aktsii-afk-sistema-podskochili-na-7-na-soobshcheniyakh-o-pokupke-doli-ozona-strukturami-sbera-20260528-1910/
https://news.google.com/rss/articles/CBMi4AFBVV95cUxOX2xxVFB2bjdKSHBsQ0FiTVMxeEVGeGRJcHE3SkdCSFdlYURBdG14VGFvM0lYc3d4ejByT25Zb1dGSGI4N25PRDJfbFotUVZ1X3pLZWZPb0QzTll2RklrX1dVTy1WcGYyd3czY1hub0dPOExtTE1BWi13Q0pNTWt0ZGRKQjZkU3IwVUZxbExoRXN2R0duRnZaRnFIdkl0OFY3ZEEyZEZ3SUtiZUFpV3BrRFBLV0N3T0Zuc1FqTWJtZ25qMGFiZ1hUdDZHVmx4N3pxbU9UQ3FSUXM1OGpGTHlTNw?oc=5</t>
  </si>
  <si>
    <t>https://news.google.com/rss/articles/CBMiUkFVX3lxTE9GMUxsS2ZKR2JaU2ZhY1hRSmoteVVNM1V6U2pJQnFGblRETXk1b0pLLXl3VXNvREgwdVg4dmNyc3VBVWxFZ1ZjUmxILXlrWU80VVHSAUtBVV95cUxPM21YSmF3aGRJQThYblp1MEEyNGNLSnR0SzlnTG1ITWtJWXY5bU1Jdm9kWU5nRjRYOUoxRlFscTB5X2NHVUlWYmtDX0k?oc=5</t>
  </si>
  <si>
    <t>https://news.google.com/rss/articles/CBMihgFBVV95cUxOVVc5b2xRd2dWREJQMEVGcEVKSlhNdFFmTjNGYWVnRkRNbHlmZ29zRGdzUjlrS2VQQjJxM0RhUTh4bnhIWnhNb3ZnQ2VhYmJqdEI1Q0dpVHZOWlNCLXNUanVlYTdhNmQ2TkpGZ1hFVG0xclRWNWZvZUhmeXdua1BtUDNpMm9LZw?oc=5</t>
  </si>
  <si>
    <t>https://news.google.com/rss/articles/CBMihgFBVV95cUxPa1Utd0tlY3RsT1JNSUZEcGdEdG84bFBJYlc0eDVEand3UnppVTduOUZPMUo2UHJ6SmxSSGgwekt6cDFyS3ByZDRxR1RrQjNJWk5VUlB4U2UyM0pSa3FiNnRscllQT19fZ2pEb0xQTU4xdXNXTi1PbWxNTF9LRTg2RTh3VHoyZw?oc=5</t>
  </si>
  <si>
    <t>https://bcs-express.ru/novosti-i-analitika/t-tekhnologii-zakryli-sdelku-po-pokupke-avto-ru-u-iandeksa</t>
  </si>
  <si>
    <t>https://bcs-express.ru/novosti-i-analitika/t-tekhnologii-zakryli-sdelku-po-pokupke-avto-ru-u-iandeksa
https://news.google.com/rss/articles/CBMiowFBVV95cUxNQ0ZvSEhWU1BqUzkyWi1YOWNOR0lab1kxRldxMFV5YllQQWp4Y0xFcjNLTXpHMUFJcnhicWI2RGNuUWRpUndBS0ZlQ2U0c05yWDlTeWZnWG05QjhZR0VWVW5IV19aSkdwa0d1UWpMWC1tLWdicjNtUVk4M2QtbFhsQkFxejdjZ2lLNDYxWTlwUWwyMzhqZ20zelY5SkZpZjBjYzZv?oc=5</t>
  </si>
  <si>
    <t>https://www.finam.ru/publications/item/yandeks-prodal-avtoru-t-tekhnologiyam-20260602-1802/</t>
  </si>
  <si>
    <t>https://www.finam.ru/publications/item/yandeks-prodal-avtoru-t-tekhnologiyam-20260602-1802/
https://news.google.com/rss/articles/CBMilgFBVV95cUxQWFk5YjhpaHc0S3BiTEpUVzFndHdkTDVmY0EtRDhFQ0pYcjBvWUF3V3FZUFhaUjhEQ1FXT0FDdWU1dGdtVmJ1Z1l5bmhGcVBwdjhsWTZVNG10dWhmTlNGbGZqV2cwRUoyaEdZS3c0dEx1MV8ySGpfX2ljQnhfemFELThnSDc3T09JZ1lOZW45Yk93YmYyb3c?oc=5</t>
  </si>
  <si>
    <t>https://www.finam.ru/publications/item/yandeks-stal-osnovnym-pretendentom-na-pokupku-ostrovka-20260528-0928/
https://news.google.com/rss/articles/CBMirAFBVV95cUxNSlk2WU9xYjNqM1AwRkNGOV9BYnhzQVg3VlRaaWJlT01VVDNrYklwUjY4SFZfdjZQLVlHZEpxYm0tVmpDUFN5a190bUU0MnFnb2VFMFMyQ2E1OWlyQ2djRWwtdWMyN3F5NXRYamZkUmFhMkk4UlFZQXFDOVB2RE9uNjZkdFFMbGZFT0dWOTN4MjZDbXZmMzNSOUNlOXVaZjJGcmM4QnZiM0I3QUhM?oc=5</t>
  </si>
  <si>
    <t>https://www.finam.ru/publications/item/posledniy-den-pokupki-aktsiy-ozona-pod-dividendy-25-maya-20260525-0652/
https://news.google.com/rss/articles/CBMirwFBVV95cUxNckFiOGoyLVd2REpiUVVDaWp6NzF5Y1laekdUZnhnWUJYS3ZteHpxSGd6OElyTUwyZXVFWjgwWmRFclVXbV9FR2xKS2dHZDdoZEZsUEMycy01ZUxUMU03eTBybC1NQlZ5dDVtZHp4NTdVdEhzak9jVlgwZ2ZXTVA0SnIyM0RUTG5saEdQWG5FTDIwUmE1MHllN2xOek1HeXlRS2RtSDhCeFZfaElpRy1F?oc=5</t>
  </si>
  <si>
    <t>https://bcs-express.ru/novosti-i-analitika/aktsionery-ozon-utverdili-final-nye-dividendy-za-2025
https://news.google.com/rss/articles/CBMinAFBVV95cUxPUDczZmMzcGh0VmlVbnducmFDWkNiamxLVDdCT29PQXVGSkRDeFN4MGFNbzJFNHo4UlZ6Qjk1bUFXaXJVUDdENXZ4a1ctNWRzcVRiZlE4R19uTXhkNndrc09VaUpfa3R4NkdWM1A2NEdETXdwOUpYeDVLLWF1VHNvNURIUXg0NlRaRVpsTDliNFNjbGlicG9VbWVMaEQ?oc=5</t>
  </si>
  <si>
    <t>https://www.finam.ru/publications/item/otchetnosti-zaymera-bsp-i-sovkombanka-dividendnyy-vopros-u-ozona-i-md-medikal-osnovnye-sobytiya-15-maya-20260515-0900/
https://news.google.com/rss/articles/CBMi7gFBVV95cUxOVkF3VWdna082MXVoUDVVTnpvUjV1Y2tnMGRwRkYwRlhnUE1RZldyUGVCcklzSWdXQmhMYkRaNi1nZGp5LVdzU3RRWV9kTnpJbFFxU2lCSGR1clk5R3NIaDZHeDRxTUF6VkZHV2F4dTAtS0Jjd1FEM281dU5YZ3lMRWROOVNiT29mVG1EcXRCcmdmaDZ5OFpzTmRHRWpidFMzdjktZHhRMGpxZ0pUZmw0MDRGNjZEMWFPVC1EcFFFa1NFNzJlNk1oUnI1cGFpc2ZDYWk0LUxuaVN1LUdvU25hTXpINjhQZGNHdzJIdElR?oc=5</t>
  </si>
  <si>
    <t>https://bcs-express.ru/novosti-i-analitika/iandeks-odobril-vykup-aktsii-na-50-mlrd-rublei
https://news.google.com/rss/articles/CBMikwFBVV95cUxPbkRNMVpoTFN4cXlrOWRya3A4SW1Dd09IUHIzMUw3emMzY1hZckpPRWtMclI2aTllZTRQTlRwUmNGNVp4X1hPV041elJSWGhtVS1kM0VGMFpWdmZIcDRmTS04MjBSb3FoVG5xZWdhY0REZkxLMTMxTE1PeF92VW5SRkxDYVNrVGVuNVFTSlRfaFFFeWc?oc=5</t>
  </si>
  <si>
    <t>https://sbercib.ru/publication/rezultati-ozon-dom-rf-dividendi-yandeksa-i-tatnefti-i-drugie-novosti-nedeli
https://news.google.com/rss/articles/CBMiqgFBVV95cUxQZEltanhoOVlVS2FSRnNObHRXRkJnUEpjZ1VRXzB4czdNUFJOVzVxNU1XcGdxX1gxNmhYcHVrWFh1bXZMRTA5UUZHczhJNlJLYl8wVzdtZmdWYjRQZVB4TDVRNHNURVI1UkhkeVFpNXN4WnhUekFURDhiSlFyZDAtUFMtNW1VR3JEZFUwMEktbmFIYk52Uy02ay1IQTdYZHE2Zm10Vkw1LVBLdw?oc=5</t>
  </si>
  <si>
    <t>https://www.vedomosti.ru/finance/news/2026/04/27/1193355-putin-isklyuchil
https://news.google.com/rss/articles/CBMifkFVX3lxTE5wcVN1bk9QeWE3N3kxMkdGdndraERVOGhyUndZcTkwSVVWdlhXUkVldXUtRWR5QTlCR3owOHN1QzFPZVVDR0JWMGkweTM2ekRobml3MzJqT3ZyTGFCSTZtTk0yZ3FxOG52ZjA3c203bEJ4UGVIN18xQUJxenBLQQ?oc=5</t>
  </si>
  <si>
    <t>https://bcs-express.ru/novosti-i-analitika/ozon-bank-iskliuchen-iz-perechnia-bankov-s-aktsiiami-kotorykh-zapreshcheny-sdelki
https://news.google.com/rss/articles/CBMiwgFBVV95cUxORlpPNHotYkNzQVpwd2ptLTRIVmJmelQwVHY5Vjc2Rmd1YzFnMW52R3h3aXlFYkpzc0NfY0NPdWk3RnhUSXhudGhZUWxXeE90WlNpVmRkYlhxSlNHLXFkZ1pLMllFY3VBQUx6bDJUcG13VEVINVlKOTFMUkRkUUx0bllTQ2NQdzBaMENTM3FrN2dMNVFjQ2NKRTVUNG92QWlpcEdtWVFuMWx1dnJRTTFWS1paVllydW9oeUU0NjNUVjhCUQ?oc=5</t>
  </si>
  <si>
    <t>https://glavportal.com/news/putin-razreshil-sdelki-s-akciyami-ozon-banka
https://news.google.com/rss/articles/CBMifEFVX3lxTE5vODZHWnJJX1RoLWU3X2RfSGpCZFZrN2xZeGtyOVVzSENxQzlaQTEwV3pCNXBuOG9JRnVfTkdxOGl5N3RJTGhDVVh0YXdBbTY5dnlZYWRjVkJ5MTFROHhTQUVvdjEwS3BpYUtmSG12YmVocnBnVmVpVmN0ZzQ?oc=5</t>
  </si>
  <si>
    <t>https://investfuture.ru/articles/putin-snyal-zapret-na-sdelki-s-aktsiyami-ozon-banka-v-rossii-1178931397</t>
  </si>
  <si>
    <t>https://investfuture.ru/articles/putin-snyal-zapret-na-sdelki-s-aktsiyami-ozon-banka-v-rossii-1178931397
https://news.google.com/rss/articles/CBMipwFBVV95cUxQcU81OEdseHRmbS1zNlgwaDB4VWRLbVp1eGRLdTZ0R0RZOXpvRU1uRmE0MHRVVFlrNHFobW1mQlJleE1ZOFRaWjB3WWoyVldwR1dMRlM1Z2l5MUZiQnNsX0JJdXZRLUFrV2cxVS04ZmtfNUNtaVR3M21XbGw5N0I5ZWxqOHktNnJyZ1ZuMGc5UTZMc2cxOU5OU0VQUkJVVjFTenhmLVdlQQ?oc=5</t>
  </si>
  <si>
    <t>URA.RU</t>
  </si>
  <si>
    <t>https://news.google.com/rss/articles/CBMiR0FVX3lxTE8wam05RkhGd2REbmcta2EzYmJUZDZ0YzFCcVVTT2t0YndoN0x0TVVhTG9tSWJyN1RCaUFnU3NVMWh4WVJPUWRV?oc=5</t>
  </si>
  <si>
    <t>https://realnoevremya.ru/news/394463-s-ozon-banka-snyali-ogranicheniya-na-sdelki-s-akciyami-rasporyazhenie-putina
https://news.google.com/rss/articles/CBMiswFBVV95cUxPdUFBdHZlVG53aElMZ1BtWGh4VzZmSEg1OFU4UzJqTnlOanFmYW5RLUV3OXR3cFFrdmhJalBhZWFPMmFPTjlObnRyY2c4T3dYZTc3MjBfWHFrUU00RVBxMnFreVNkQ19vNVBGbnlDSktCZXJGTmFWUmJtWllmX2xraTRsM093aHdoWGo2QW0zNGg5VkxyRFk5YnU1QWtYOFMxMzhLNTBQbWxLQjNkbXl6cWY3RQ?oc=5</t>
  </si>
  <si>
    <t>https://bosfera.ru/press-release/ozon-bank-isklyuchen-iz-spiska-s-zapretom-na-sdelki-s-akciyami-i-dolyami
https://news.google.com/rss/articles/CBMiqAFBVV95cUxNQXVhQ2RuZ0lNVWJmM3gwUmY4bzllcHBVWUZWQXlGT0s1MndodXlWMGlIRXNGbFFCQ3VPMmZPeG9ZMnphS19pcDAzdzMybEkzNEdOaEE0SGY2d3F4dzBmMWw0QUtmaUtpS2tqejhtSER5MlByWC03VDdrSTFwM3U4ZFFiYjVWZTE1VTdfZlVfS3YyV0VnYmZpaURwYVRiZmdTMnhjRDVsTTQ?oc=5</t>
  </si>
  <si>
    <t>https://alfabank.ru/alfa-investor/t/obligatsii-ozona-zarabotay-na-marketpleyse/
https://news.google.com/rss/articles/CBMihgFBVV95cUxOR21Vd1RCOGpSRktSR2g3Mm11emdNTHVpLTlESXFfUVc5SFZFYkZYTWcwZ1kxc2ZUU1lPVWo3UmRjQXl4SFREaElpVTZvZktVMW43QXhNU2ZHal9hSHQ0bkttRV8xa1BVbHRHSENoSE5GblYwZElISUxNbG1fSG1uWUJ0QVgtZw?oc=5</t>
  </si>
  <si>
    <t>https://expert.ru/news/aktsionery-yandeksa-utverdili-dividendy-za-2025-god-v-razmere-110-rubley
https://news.google.com/rss/articles/CBMimwFBVV95cUxPWGhKZDBJT19jSHlMQlI2Z3RWU2NzOUlEekZlamVwMnNmV0JXZ2dNeXZWaWF1eEEzRlVzTE5pd1JNZUNlRkV3OVB3QUZzU1B4Tm1HYjNkcV9oWE1RQlY0dGIyNkUwdm05RTlfM1ZLQzJiNldVLWNSRGQ5aUNrRUdmc1dBMEVORThSVnNVTEl3d3JMLUFBak5OZjNhMA?oc=5</t>
  </si>
  <si>
    <t>Эксперт</t>
  </si>
  <si>
    <t>https://news.google.com/rss/articles/CBMimwFBVV95cUxPWGhKZDBJT19jSHlMQlI2Z3RWU2NzOUlEekZlamVwMnNmV0JXZ2dNeXZWaWF1eEEzRlVzTE5pd1JNZUNlRkV3OVB3QUZzU1B4Tm1HYjNkcV9oWE1RQlY0dGIyNkUwdm05RTlfM1ZLQzJiNldVLWNSRGQ5aUNrRUdmc1dBMEVORThSVnNVTEl3d3JMLUFBak5OZjNhMA?oc=5</t>
  </si>
  <si>
    <t>https://rb.ru/news/yandeks-odobril-dividendy-po-itogam-2025-go-vyplaty-sostavyat-110-za-akciyu-pochti-na-40-vyshe-chem-v-proshlom-godu/
https://news.google.com/rss/articles/CBMi0AFBVV95cUxPM0l6REZfX1FWR3FiY1RBQlJUbzdaNDVTZTB5UklOalA3Vk1qYzRsQWhkZDNScTZWOHVaY0hNaTNRdDNHWU1jR1hhUV9GT1dES3daWVFhTFJ3M3lHTmJSSnZzN19ETGtJbExzNk0ybFdHdWs2ZkprOUd5X25HYWFnb29qZTRMMDBidkhaRG01WTNSMGMxUHJQS1k2Y19Za2NLQlExZWFyUk94aUZGcTVKZ2toSWxBVkg2WFFic3hxcHFQNEphVmlFZkpoMXJLQVB1?oc=5</t>
  </si>
  <si>
    <t>https://rb.ru/news/vk-prodal-25-akcij-tochka-banka-sdelku-ocenili-v-212-mlrd-vdvoe-vyshe-iznachalnoj-stoimosti-bumag/
https://news.google.com/rss/articles/CBMiuAFBVV95cUxNQlJkLWo5eXZTSkZxSWU5NjF5TVJ0N1lYdXJqSzlFUGFMdk5jVEZMak1HeDE2SDZNcDduc3hENHkzaW8wWTVfWjN1QmpodGdYdDRLVXpua0pBUUs0MzVBX3lnOHlkVkJhVGdLNDlESDNRYmNmaDFaamJZVHdJRGhpX25lSkNmcmZ2dWZhZnhja2NwcXVnelJZVjg0Z1Flakd2VGl0MGRwUVdTTGtYYlNFcUYxSXdYaGY5?oc=5</t>
  </si>
  <si>
    <t>https://www.vedomosti.ru/finance/news/2026/04/16/1190812-vk-prodala-dolyu</t>
  </si>
  <si>
    <t>https://www.vedomosti.ru/finance/news/2026/04/16/1190812-vk-prodala-dolyu
https://news.google.com/rss/articles/CBMifkFVX3lxTE1vSUlEOTl2cU5jckxzemNzN2oyNVZaX203N1VWRkpuZXNwYV9sdUNGMTZPTHhiNm5LWFBmdFM0QkFTRjFPczd4VEFlTEZpRzhiakF2ZGh5UU5kamRvbnFRTDE5dG8zOF9HRkk5MDUwVzBWbU9qWEN0MDhIdTJNUQ?oc=5</t>
  </si>
  <si>
    <t>CNews.ru</t>
  </si>
  <si>
    <t>https://www.cnews.ru/news/top/2026-04-16_vk_prodal_svoyu_dolyu_v_virtualnom</t>
  </si>
  <si>
    <t>https://www.cnews.ru/news/top/2026-04-16_vk_prodal_svoyu_dolyu_v_virtualnom
https://news.google.com/rss/articles/CBMigAFBVV95cUxOeU1NOHJNay1uUm9TdlpGcWh4YkNXN3J0clFCT2JrM0t5T3hwTmtTRlJXUWpyeVBYbnltZlB0dnpqLWxhTUxQNW9wQU1LeG5sTjVzT1NNQlFlY0Jpb1REMGhyWG1wSUM0STZXbFFaNndzQ1A1MlVvMFN3RmlmOW4tXw?oc=5</t>
  </si>
  <si>
    <t>https://www.finam.ru/publications/item/dvoynoe-razmeshchenie-obligatsiy-vk-chego-zhdat-chastnym-investoram-20260410-1829/
https://news.google.com/rss/articles/CBMivgFBVV95cUxNT2pxcWtLNl9tQmhsRlFJVXF0QWNfNGxNLXdRVU9CNXNFRnZXTmtQUVAxVVZWNHBrZ1dRd000Z3FZT0FxTVpISnZSTXZCdUs1Q1A3cnVPdk5UY0tGS3ZvdjNIcE9EUDBGY2NwLWpjWDg1czZZbzZtVDRJM3V3UW1ZOWRZWEktTUk2aU1xajF5YmwwbVVwZW9MUUh0SDR0QTRlRkMxLUxtcmNLNGlPbzVpZi1ycmdvLTdNYzFURnF3?oc=5</t>
  </si>
  <si>
    <t>https://alfabank.ru/alfa-investor/posts/t/1238104e-fa34-f111-91c8-0050569ebac3/
https://news.google.com/rss/articles/CBMihgFBVV95cUxNbVZjUURpZDgxcTE2VG9jRktkMVZHRmpqSG9jclBJZU45SVNzS3VLTUFyYkhnUWdpQl9pb1Jvd1p5Ni12Z1pFQWlKeDQtUDUxY0xCSVA0dno3ZjJzWnZkS3RLVWh3UjNGWVJXd29rbjFBUjdVUnZwa1RGdk9hQTIxMHBCRzFPdw?oc=5</t>
  </si>
  <si>
    <t>https://expert.ru/news/ozon-anonsiroval-razmeshchenie-obligatsiy-na-15-mlrd-rubley
https://news.google.com/rss/articles/CBMiigFBVV95cUxNVmVRdkQ4RElHdURKbmVDQU9NbVRmZTd0Z3NiM3JzMjFhZzNzQzVPMnhzNHFER2VsYVAyWEpwVlg4c24zZUozY1ZNUFQxNDMxakR1Q1J0RFhhbkRxbUZYTmgtc3N3UzhsckljT1lpZTFvaXJKeGlTblNyNlNWb2JhOWFSVXZJWjZ0Rmc?oc=5</t>
  </si>
  <si>
    <t>https://bcs-express.ru/novosti-i-analitika/ozon-planiruet-debiutnoe-razmeshchenie-birzhevykh-obligatsii
https://news.google.com/rss/articles/CBMipgFBVV95cUxNTmtrN3N0YVN0c0NuVnBscUJvbzdVbWZ5OXczRTkySkx1T1hKdWJvZlFWNEFqbkxhRmpXVEVQZUdIcjdOZkNFRnJhX1huRGRmelhla1RRTURfejMzd2FIMU9ZcmQ4REtOWWEyZ3JhLUgwSmI2UDhJM2s4TkNRekY0T3ZtcEJNbUYzNTQzOXRITGxsN1A0N1duQ3FKeE5fTXIxMUVJTlh3?oc=5</t>
  </si>
  <si>
    <t>official_issuer</t>
  </si>
  <si>
    <t>issuer_ir</t>
  </si>
  <si>
    <t>sec_filing</t>
  </si>
  <si>
    <t>MODEL CHECKS</t>
  </si>
  <si>
    <t>Check</t>
  </si>
  <si>
    <t>Actual</t>
  </si>
  <si>
    <t>Expected</t>
  </si>
  <si>
    <t>Difference</t>
  </si>
  <si>
    <t>Tolerance</t>
  </si>
  <si>
    <t>Duplicate deal IDs</t>
  </si>
  <si>
    <t>Missing primary URLs</t>
  </si>
  <si>
    <t>Missing announced dates</t>
  </si>
  <si>
    <t>Unsafe URLs</t>
  </si>
  <si>
    <t>Approved non-deal records</t>
  </si>
  <si>
    <t>Stake populated outside M&amp;A</t>
  </si>
  <si>
    <t>Buyer populated for DCM</t>
  </si>
  <si>
    <t>Eligible multiple observations</t>
  </si>
  <si>
    <t>Overall model status</t>
  </si>
</sst>
</file>

<file path=xl/styles.xml><?xml version="1.0" encoding="utf-8"?>
<styleSheet xmlns="http://schemas.openxmlformats.org/spreadsheetml/2006/main">
  <numFmts count="4">
    <numFmt numFmtId="164" formatCode="0.0x"/>
    <numFmt numFmtId="165" formatCode="dd-mmm-yyyy"/>
    <numFmt numFmtId="166" formatCode="#,##0;[Red](#,##0);-"/>
    <numFmt numFmtId="167" formatCode="0.0%;[Red](0.0%);-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52616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0243E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thin">
        <color rgb="FFCCD5D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0" xfId="0" applyFont="1" applyFill="1"/>
    <xf numFmtId="0" fontId="3" fillId="2" borderId="0" xfId="0" applyFont="1" applyFill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65" fontId="5" fillId="0" borderId="0" xfId="0" applyNumberFormat="1" applyFont="1"/>
    <xf numFmtId="0" fontId="5" fillId="0" borderId="0" xfId="0" applyFont="1"/>
    <xf numFmtId="166" fontId="5" fillId="0" borderId="0" xfId="0" applyNumberFormat="1" applyFont="1"/>
    <xf numFmtId="167" fontId="5" fillId="0" borderId="0" xfId="0" applyNumberFormat="1" applyFont="1"/>
    <xf numFmtId="164" fontId="6" fillId="0" borderId="0" xfId="0" applyNumberFormat="1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alsTable" displayName="DealsTable" ref="A6:AT99" totalsRowShown="0">
  <autoFilter ref="A6:AT99"/>
  <tableColumns count="46">
    <tableColumn id="1" name="Deal ID"/>
    <tableColumn id="2" name="Announced Date"/>
    <tableColumn id="3" name="Type"/>
    <tableColumn id="4" name="Record Kind"/>
    <tableColumn id="5" name="Status"/>
    <tableColumn id="6" name="Target / Issuer"/>
    <tableColumn id="7" name="Buyer / Investor"/>
    <tableColumn id="8" name="Seller"/>
    <tableColumn id="9" name="Sector"/>
    <tableColumn id="10" name="Geography"/>
    <tableColumn id="11" name="Transaction Value"/>
    <tableColumn id="12" name="Enterprise Value"/>
    <tableColumn id="13" name="Currency"/>
    <tableColumn id="14" name="Stake %"/>
    <tableColumn id="15" name="Payment Form"/>
    <tableColumn id="16" name="Advisors"/>
    <tableColumn id="17" name="Instrument"/>
    <tableColumn id="18" name="Security Code"/>
    <tableColumn id="19" name="ISIN"/>
    <tableColumn id="20" name="Coupon %"/>
    <tableColumn id="21" name="Coupon Type"/>
    <tableColumn id="22" name="Yield %"/>
    <tableColumn id="23" name="Maturity"/>
    <tableColumn id="24" name="Tenor"/>
    <tableColumn id="25" name="Issue Price"/>
    <tableColumn id="26" name="Price / Share"/>
    <tableColumn id="27" name="Discount %"/>
    <tableColumn id="28" name="Bookrunners"/>
    <tableColumn id="29" name="Free Float %"/>
    <tableColumn id="30" name="Rationale"/>
    <tableColumn id="31" name="Revenue LTM"/>
    <tableColumn id="32" name="EBITDA LTM"/>
    <tableColumn id="33" name="Financials As Of"/>
    <tableColumn id="34" name="Financials Currency"/>
    <tableColumn id="35" name="EV / Revenue"/>
    <tableColumn id="36" name="EV / EBITDA"/>
    <tableColumn id="37" name="Financial Source"/>
    <tableColumn id="38" name="Metric Basis"/>
    <tableColumn id="39" name="Multiple Notes"/>
    <tableColumn id="40" name="Quality"/>
    <tableColumn id="41" name="Quality Score"/>
    <tableColumn id="42" name="Evidence"/>
    <tableColumn id="43" name="Source Count"/>
    <tableColumn id="44" name="Primary Source"/>
    <tableColumn id="45" name="Primary URL"/>
    <tableColumn id="46" name="Head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ncialsTable" displayName="FinancialsTable" ref="A6:N16" totalsRowShown="0">
  <autoFilter ref="A6:N16"/>
  <tableColumns count="14">
    <tableColumn id="1" name="Deal ID"/>
    <tableColumn id="2" name="Target"/>
    <tableColumn id="3" name="Deal Date"/>
    <tableColumn id="4" name="Financials As Of"/>
    <tableColumn id="5" name="Available At"/>
    <tableColumn id="6" name="Currency"/>
    <tableColumn id="7" name="Revenue LTM"/>
    <tableColumn id="8" name="Operating Income"/>
    <tableColumn id="9" name="Depreciation"/>
    <tableColumn id="10" name="Amortization"/>
    <tableColumn id="11" name="EBITDA LTM"/>
    <tableColumn id="12" name="Metric Basis"/>
    <tableColumn id="13" name="Source"/>
    <tableColumn id="14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ultiplesTable" displayName="MultiplesTable" ref="A6:O34" totalsRowShown="0">
  <autoFilter ref="A6:O34"/>
  <tableColumns count="15">
    <tableColumn id="1" name="Deal ID"/>
    <tableColumn id="2" name="Date"/>
    <tableColumn id="3" name="Target"/>
    <tableColumn id="4" name="Enterprise Value"/>
    <tableColumn id="5" name="EV Currency"/>
    <tableColumn id="6" name="Revenue LTM"/>
    <tableColumn id="7" name="EBITDA LTM"/>
    <tableColumn id="8" name="Financials Currency"/>
    <tableColumn id="9" name="Quality"/>
    <tableColumn id="10" name="Available at announcement"/>
    <tableColumn id="11" name="EV / Revenue"/>
    <tableColumn id="12" name="EV / EBITDA"/>
    <tableColumn id="13" name="Model Eligible"/>
    <tableColumn id="14" name="Financial Source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Table" displayName="SourcesTable" ref="A6:K131" totalsRowShown="0">
  <autoFilter ref="A6:K131"/>
  <tableColumns count="11">
    <tableColumn id="1" name="Deal ID"/>
    <tableColumn id="2" name="Date"/>
    <tableColumn id="3" name="Target / Issuer"/>
    <tableColumn id="4" name="Publication / Publisher"/>
    <tableColumn id="5" name="Canonical Type"/>
    <tableColumn id="6" name="Evidence"/>
    <tableColumn id="7" name="Canonical URL"/>
    <tableColumn id="8" name="Published"/>
    <tableColumn id="9" name="Representation Count"/>
    <tableColumn id="10" name="Representation URLs"/>
    <tableColumn id="11" name="Head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ex.com/n101874" TargetMode="External"/><Relationship Id="rId2" Type="http://schemas.openxmlformats.org/officeDocument/2006/relationships/hyperlink" Target="https://ru.fashionnetwork.com/news/Amazon-namerena-privlech%CA%B9-25-mlrd-putem-razmeshcheniya-obligatsiy,1850796.html" TargetMode="External"/><Relationship Id="rId3" Type="http://schemas.openxmlformats.org/officeDocument/2006/relationships/hyperlink" Target="https://www.moex.com/n101851" TargetMode="External"/><Relationship Id="rId4" Type="http://schemas.openxmlformats.org/officeDocument/2006/relationships/hyperlink" Target="https://www.moex.com/n101830" TargetMode="External"/><Relationship Id="rId5" Type="http://schemas.openxmlformats.org/officeDocument/2006/relationships/hyperlink" Target="https://www.moex.com/n101798" TargetMode="External"/><Relationship Id="rId6" Type="http://schemas.openxmlformats.org/officeDocument/2006/relationships/hyperlink" Target="https://www.moex.com/n101795" TargetMode="External"/><Relationship Id="rId7" Type="http://schemas.openxmlformats.org/officeDocument/2006/relationships/hyperlink" Target="https://news.mondiara.com/categories/186/posts/241739" TargetMode="External"/><Relationship Id="rId8" Type="http://schemas.openxmlformats.org/officeDocument/2006/relationships/hyperlink" Target="https://www.vedomosti.ru/investments/news/2026/07/06/1211561-mosbirzhe-sdelki" TargetMode="External"/><Relationship Id="rId9" Type="http://schemas.openxmlformats.org/officeDocument/2006/relationships/hyperlink" Target="https://www.moex.com/n101768" TargetMode="External"/><Relationship Id="rId10" Type="http://schemas.openxmlformats.org/officeDocument/2006/relationships/hyperlink" Target="https://www.moex.com/n101755" TargetMode="External"/><Relationship Id="rId11" Type="http://schemas.openxmlformats.org/officeDocument/2006/relationships/hyperlink" Target="https://www.moex.com/n101762" TargetMode="External"/><Relationship Id="rId12" Type="http://schemas.openxmlformats.org/officeDocument/2006/relationships/hyperlink" Target="https://alfabank.ru/alfa-investor/posts/t/0f76d7ad-de76-f111-91c8-0050569e1fd0/" TargetMode="External"/><Relationship Id="rId13" Type="http://schemas.openxmlformats.org/officeDocument/2006/relationships/hyperlink" Target="https://www.moex.com/n101717" TargetMode="External"/><Relationship Id="rId14" Type="http://schemas.openxmlformats.org/officeDocument/2006/relationships/hyperlink" Target="https://www.moex.com/n101722" TargetMode="External"/><Relationship Id="rId15" Type="http://schemas.openxmlformats.org/officeDocument/2006/relationships/hyperlink" Target="https://www.moex.com/n101737" TargetMode="External"/><Relationship Id="rId16" Type="http://schemas.openxmlformats.org/officeDocument/2006/relationships/hyperlink" Target="https://www.moex.com/n101734" TargetMode="External"/><Relationship Id="rId17" Type="http://schemas.openxmlformats.org/officeDocument/2006/relationships/hyperlink" Target="https://www.moex.com/n101738" TargetMode="External"/><Relationship Id="rId18" Type="http://schemas.openxmlformats.org/officeDocument/2006/relationships/hyperlink" Target="https://www.moex.com/n101663" TargetMode="External"/><Relationship Id="rId19" Type="http://schemas.openxmlformats.org/officeDocument/2006/relationships/hyperlink" Target="https://www.moex.com/n101666" TargetMode="External"/><Relationship Id="rId20" Type="http://schemas.openxmlformats.org/officeDocument/2006/relationships/hyperlink" Target="https://www.moex.com/n101684" TargetMode="External"/><Relationship Id="rId21" Type="http://schemas.openxmlformats.org/officeDocument/2006/relationships/hyperlink" Target="https://www.moex.com/n101691" TargetMode="External"/><Relationship Id="rId22" Type="http://schemas.openxmlformats.org/officeDocument/2006/relationships/hyperlink" Target="https://www.moex.com/n101690" TargetMode="External"/><Relationship Id="rId23" Type="http://schemas.openxmlformats.org/officeDocument/2006/relationships/hyperlink" Target="https://www.moex.com/n101688" TargetMode="External"/><Relationship Id="rId24" Type="http://schemas.openxmlformats.org/officeDocument/2006/relationships/hyperlink" Target="https://prospect.com.ru/news/6836117/vtb-poluchil-v-zalog-krupnyj-paket-aktsij-ozon-summa-sdelki-320-milliardov-rublej.html" TargetMode="External"/><Relationship Id="rId25" Type="http://schemas.openxmlformats.org/officeDocument/2006/relationships/hyperlink" Target="https://www.finam.ru/publications/item/rynok-pytaetsya-rasti-aktsii-sistemy-ostayutsya-v-liderakh-padeniya-posle-sdelki-s-vtb-20260701-1023/" TargetMode="External"/><Relationship Id="rId26" Type="http://schemas.openxmlformats.org/officeDocument/2006/relationships/hyperlink" Target="https://www.moex.com/n101632" TargetMode="External"/><Relationship Id="rId27" Type="http://schemas.openxmlformats.org/officeDocument/2006/relationships/hyperlink" Target="https://www.moex.com/n101636" TargetMode="External"/><Relationship Id="rId28" Type="http://schemas.openxmlformats.org/officeDocument/2006/relationships/hyperlink" Target="https://www.moex.com/n101641" TargetMode="External"/><Relationship Id="rId29" Type="http://schemas.openxmlformats.org/officeDocument/2006/relationships/hyperlink" Target="https://www.moex.com/n101644" TargetMode="External"/><Relationship Id="rId30" Type="http://schemas.openxmlformats.org/officeDocument/2006/relationships/hyperlink" Target="https://tradersunion.com/ru/news/institutions/show/2532310-moscow-exchange-sberbank-bonds-ios-ydex/" TargetMode="External"/><Relationship Id="rId31" Type="http://schemas.openxmlformats.org/officeDocument/2006/relationships/hyperlink" Target="https://bcs-express.ru/novosti-i-analitika/vush-zavershil-pervyi-etap-razmeshcheniia-obligatsii" TargetMode="External"/><Relationship Id="rId32" Type="http://schemas.openxmlformats.org/officeDocument/2006/relationships/hyperlink" Target="https://www.moex.com/n101536" TargetMode="External"/><Relationship Id="rId33" Type="http://schemas.openxmlformats.org/officeDocument/2006/relationships/hyperlink" Target="https://www.moex.com/n101565" TargetMode="External"/><Relationship Id="rId34" Type="http://schemas.openxmlformats.org/officeDocument/2006/relationships/hyperlink" Target="https://www.moex.com/n101562" TargetMode="External"/><Relationship Id="rId35" Type="http://schemas.openxmlformats.org/officeDocument/2006/relationships/hyperlink" Target="https://www.moex.com/n101561" TargetMode="External"/><Relationship Id="rId36" Type="http://schemas.openxmlformats.org/officeDocument/2006/relationships/hyperlink" Target="https://www.moex.com/n101559" TargetMode="External"/><Relationship Id="rId37" Type="http://schemas.openxmlformats.org/officeDocument/2006/relationships/hyperlink" Target="https://finance.mail.ru/article/vyipusk-obligatsij-spacex-na-25-mlrd-vyizval-opaseniya-investorov-69215522/" TargetMode="External"/><Relationship Id="rId38" Type="http://schemas.openxmlformats.org/officeDocument/2006/relationships/hyperlink" Target="https://www.finam.ru/publications/item/razmeshcheniya-aktsiy-v-ssha-v-1-polugodii-sostavili-rekordnye-251-mlrd-blagodarya-spacex-20260629-1601/" TargetMode="External"/><Relationship Id="rId39" Type="http://schemas.openxmlformats.org/officeDocument/2006/relationships/hyperlink" Target="https://ir.mts.ru/news_and_events/corporate_releases/details/742414" TargetMode="External"/><Relationship Id="rId40" Type="http://schemas.openxmlformats.org/officeDocument/2006/relationships/hyperlink" Target="https://finance.mail.ru/article/molodyie-investoryi-uvelichili-vlozheniya-v-obligatsii-v-dva-raza-69215293/" TargetMode="External"/><Relationship Id="rId41" Type="http://schemas.openxmlformats.org/officeDocument/2006/relationships/hyperlink" Target="https://www.foreignpolicyjournal.com/2026/06/26/nebius-group-nasdaq-nbis-completes-eigen-ai-acquisition-analyst-lifts-stock-price-target-to-280/" TargetMode="External"/><Relationship Id="rId42" Type="http://schemas.openxmlformats.org/officeDocument/2006/relationships/hyperlink" Target="https://www.moex.com/n101473" TargetMode="External"/><Relationship Id="rId43" Type="http://schemas.openxmlformats.org/officeDocument/2006/relationships/hyperlink" Target="https://www.moex.com/n101492" TargetMode="External"/><Relationship Id="rId44" Type="http://schemas.openxmlformats.org/officeDocument/2006/relationships/hyperlink" Target="https://www.moex.com/n101468" TargetMode="External"/><Relationship Id="rId45" Type="http://schemas.openxmlformats.org/officeDocument/2006/relationships/hyperlink" Target="https://www.moex.com/n101457" TargetMode="External"/><Relationship Id="rId46" Type="http://schemas.openxmlformats.org/officeDocument/2006/relationships/hyperlink" Target="https://www.moex.com/n101454" TargetMode="External"/><Relationship Id="rId47" Type="http://schemas.openxmlformats.org/officeDocument/2006/relationships/hyperlink" Target="https://www.moex.com/n101451" TargetMode="External"/><Relationship Id="rId48" Type="http://schemas.openxmlformats.org/officeDocument/2006/relationships/hyperlink" Target="https://www.moex.com/n101450" TargetMode="External"/><Relationship Id="rId49" Type="http://schemas.openxmlformats.org/officeDocument/2006/relationships/hyperlink" Target="https://www.comnews.ru/content/246003/2026-06-25/2026-w26/1008/selectel-razmestit-obligacii-5-mlrd-rub-dlya-refinansirovaniya-i-investiciy" TargetMode="External"/><Relationship Id="rId50" Type="http://schemas.openxmlformats.org/officeDocument/2006/relationships/hyperlink" Target="https://ir.yandex.ru/press-releases?year=2026&amp;id=19-06-2026-03" TargetMode="External"/><Relationship Id="rId51" Type="http://schemas.openxmlformats.org/officeDocument/2006/relationships/hyperlink" Target="https://news.google.com/rss/articles/CBMiUkFVX3lxTE1YcWRJT1pJS3JQYUlDcVBxQmRrd2JFXzdidEJQMkRoTFVIRlBDUnQ5ZjNSMFZGamhRQ1hoTXFwaUVQMW1PZldFWWhvSzdOdmtSQnfSAUtBVV95cUxQWkQ5UHd5NFJieHBKUTVCZURpX1dEWmM4a2FnOXJ3aUREYi04ZGFUclFMNUxBdU1EMFVYWUU4MlhCaXJfTy1NZlVNXzg?oc=5" TargetMode="External"/><Relationship Id="rId52" Type="http://schemas.openxmlformats.org/officeDocument/2006/relationships/hyperlink" Target="https://bcs-express.ru/novosti-i-analitika/gref-oproverg-dogovorennost-sbera-o-pokupke-doli-v-ozone" TargetMode="External"/><Relationship Id="rId53" Type="http://schemas.openxmlformats.org/officeDocument/2006/relationships/hyperlink" Target="https://ir.yandex.ru/press-releases?year=2026&amp;id=02-06-2026-04" TargetMode="External"/><Relationship Id="rId54" Type="http://schemas.openxmlformats.org/officeDocument/2006/relationships/hyperlink" Target="https://www.finam.ru/publications/item/yandeks-stal-osnovnym-pretendentom-na-pokupku-ostrovka-20260528-0928/" TargetMode="External"/><Relationship Id="rId55" Type="http://schemas.openxmlformats.org/officeDocument/2006/relationships/hyperlink" Target="https://www.finam.ru/publications/item/posledniy-den-pokupki-aktsiy-ozona-pod-dividendy-25-maya-20260525-0652/" TargetMode="External"/><Relationship Id="rId56" Type="http://schemas.openxmlformats.org/officeDocument/2006/relationships/hyperlink" Target="https://bcs-express.ru/novosti-i-analitika/aktsionery-ozon-utverdili-final-nye-dividendy-za-2025" TargetMode="External"/><Relationship Id="rId57" Type="http://schemas.openxmlformats.org/officeDocument/2006/relationships/hyperlink" Target="https://www.finam.ru/publications/item/otchetnosti-zaymera-bsp-i-sovkombanka-dividendnyy-vopros-u-ozona-i-md-medikal-osnovnye-sobytiya-15-maya-20260515-0900/" TargetMode="External"/><Relationship Id="rId58" Type="http://schemas.openxmlformats.org/officeDocument/2006/relationships/hyperlink" Target="https://news.google.com/rss/articles/CBMiUkFVX3lxTE1SRWp6YUhObThSanNWWnBCQjlnX0xPVW1fQzJPSlJxM3JxcVhVTWlJaWZVcW5VNXFTQjU0RkJ6cC0wem9DTUNLZWlXeXZmMDhyUlHSAUtBVV95cUxPaFhNLWM1eThHQVJpOEg0TEpxT1BjRk5IdTEyYmFOdzNCOEluQmtLU3pmcXViOW5PM1gwR3ZsT2RhZEVCLTkwQ1RMZk0?oc=5" TargetMode="External"/><Relationship Id="rId59" Type="http://schemas.openxmlformats.org/officeDocument/2006/relationships/hyperlink" Target="https://news.google.com/rss/articles/CBMiUkFVX3lxTE5rRHd6NXMzNkpDcVZDdVR4NXhZN185LXRRSDMzVzZiUGd4cmNqV1BydzRLTnh4cHJnU19qNnQ1X05XMDl6VnBjVlBXY0NUOUZ3VlHSAUtBVV95cUxQOHVvOS00aURkZ3lDUGZ6Sk9kYTVFSDJhcGNJQk1PVVR2ZFJwWnZlRGZ4eW85TS15QUs4bmkxOWUzQW5PbGpDeUVnOVk?oc=5" TargetMode="External"/><Relationship Id="rId60" Type="http://schemas.openxmlformats.org/officeDocument/2006/relationships/hyperlink" Target="https://bcs-express.ru/novosti-i-analitika/iandeks-odobril-vykup-aktsii-na-50-mlrd-rublei" TargetMode="External"/><Relationship Id="rId61" Type="http://schemas.openxmlformats.org/officeDocument/2006/relationships/hyperlink" Target="https://sbercib.ru/publication/rezultati-ozon-dom-rf-dividendi-yandeksa-i-tatnefti-i-drugie-novosti-nedeli" TargetMode="External"/><Relationship Id="rId62" Type="http://schemas.openxmlformats.org/officeDocument/2006/relationships/hyperlink" Target="https://www.vedomosti.ru/finance/news/2026/04/27/1193355-putin-isklyuchil" TargetMode="External"/><Relationship Id="rId63" Type="http://schemas.openxmlformats.org/officeDocument/2006/relationships/hyperlink" Target="https://bcs-express.ru/novosti-i-analitika/ozon-bank-iskliuchen-iz-perechnia-bankov-s-aktsiiami-kotorykh-zapreshcheny-sdelki" TargetMode="External"/><Relationship Id="rId64" Type="http://schemas.openxmlformats.org/officeDocument/2006/relationships/hyperlink" Target="https://glavportal.com/news/putin-razreshil-sdelki-s-akciyami-ozon-banka" TargetMode="External"/><Relationship Id="rId65" Type="http://schemas.openxmlformats.org/officeDocument/2006/relationships/hyperlink" Target="https://realnoevremya.ru/news/394463-s-ozon-banka-snyali-ogranicheniya-na-sdelki-s-akciyami-rasporyazhenie-putina" TargetMode="External"/><Relationship Id="rId66" Type="http://schemas.openxmlformats.org/officeDocument/2006/relationships/hyperlink" Target="https://bosfera.ru/press-release/ozon-bank-isklyuchen-iz-spiska-s-zapretom-na-sdelki-s-akciyami-i-dolyami" TargetMode="External"/><Relationship Id="rId67" Type="http://schemas.openxmlformats.org/officeDocument/2006/relationships/hyperlink" Target="https://alfabank.ru/alfa-investor/t/obligatsii-ozona-zarabotay-na-marketpleyse/" TargetMode="External"/><Relationship Id="rId68" Type="http://schemas.openxmlformats.org/officeDocument/2006/relationships/hyperlink" Target="https://expert.ru" TargetMode="External"/><Relationship Id="rId69" Type="http://schemas.openxmlformats.org/officeDocument/2006/relationships/hyperlink" Target="https://expert.ru/news/aktsionery-yandeksa-utverdili-dividendy-za-2025-god-v-razmere-110-rubley" TargetMode="External"/><Relationship Id="rId70" Type="http://schemas.openxmlformats.org/officeDocument/2006/relationships/hyperlink" Target="https://rb.ru/news/yandeks-odobril-dividendy-po-itogam-2025-go-vyplaty-sostavyat-110-za-akciyu-pochti-na-40-vyshe-chem-v-proshlom-godu/" TargetMode="External"/><Relationship Id="rId71" Type="http://schemas.openxmlformats.org/officeDocument/2006/relationships/hyperlink" Target="https://rb.ru/news/vk-prodal-25-akcij-tochka-banka-sdelku-ocenili-v-212-mlrd-vdvoe-vyshe-iznachalnoj-stoimosti-bumag/" TargetMode="External"/><Relationship Id="rId72" Type="http://schemas.openxmlformats.org/officeDocument/2006/relationships/hyperlink" Target="https://www.finam.ru/publications/item/dvoynoe-razmeshchenie-obligatsiy-vk-chego-zhdat-chastnym-investoram-20260410-1829/" TargetMode="External"/><Relationship Id="rId73" Type="http://schemas.openxmlformats.org/officeDocument/2006/relationships/hyperlink" Target="https://alfabank.ru/alfa-investor/posts/t/1238104e-fa34-f111-91c8-0050569ebac3/" TargetMode="External"/><Relationship Id="rId74" Type="http://schemas.openxmlformats.org/officeDocument/2006/relationships/hyperlink" Target="https://expert.ru" TargetMode="External"/><Relationship Id="rId75" Type="http://schemas.openxmlformats.org/officeDocument/2006/relationships/hyperlink" Target="https://expert.ru/news/ozon-anonsiroval-razmeshchenie-obligatsiy-na-15-mlrd-rubley" TargetMode="External"/><Relationship Id="rId76" Type="http://schemas.openxmlformats.org/officeDocument/2006/relationships/hyperlink" Target="https://bcs-express.ru/novosti-i-analitika/ozon-planiruet-debiutnoe-razmeshchenie-birzhevykh-obligatsii" TargetMode="External"/><Relationship Id="rId77" Type="http://schemas.openxmlformats.org/officeDocument/2006/relationships/hyperlink" Target="https://vk.company/investors/info/12271/" TargetMode="External"/><Relationship Id="rId78" Type="http://schemas.openxmlformats.org/officeDocument/2006/relationships/hyperlink" Target="https://www.finam.ru/publications/item/vk-razmeshchaet-obligatsii-kak-eto-otrazitsya-na-investorakh-v-aktsii-20260330-1740/" TargetMode="External"/><Relationship Id="rId79" Type="http://schemas.openxmlformats.org/officeDocument/2006/relationships/hyperlink" Target="https://selectel.ru/about/newsroom/news/selectel-razmestil-novyj-vypusk-obligaczij-i-privlek-7-milliardov-rublej-na-razvitie-biznesa/" TargetMode="External"/><Relationship Id="rId80" Type="http://schemas.openxmlformats.org/officeDocument/2006/relationships/hyperlink" Target="https://ir.yandex.ru/press-releases?year=2025&amp;id=01-13-03-2025" TargetMode="External"/><Relationship Id="rId81" Type="http://schemas.openxmlformats.org/officeDocument/2006/relationships/hyperlink" Target="https://selectel.ru/about/newsroom/news/selectel-soobshchaet-o-priobretenii-oblachnogo-provajdera-servers-ru/" TargetMode="External"/><Relationship Id="rId82" Type="http://schemas.openxmlformats.org/officeDocument/2006/relationships/hyperlink" Target="https://selectel.ru/about/newsroom/news/selectel-planiruet-razmeshhenie-obligaczij-obemom-3-milliarda-rublej-2/" TargetMode="External"/><Relationship Id="rId83" Type="http://schemas.openxmlformats.org/officeDocument/2006/relationships/hyperlink" Target="https://selectel.ru/about/newsroom/news/selectel-na-fone-povyshennogo-sprosa-na-obligaczii-chetvertogo-vypuska-uvelichil-obem-razmeshheniya-do-4-mlrd-rublej/" TargetMode="External"/><Relationship Id="rId84" Type="http://schemas.openxmlformats.org/officeDocument/2006/relationships/hyperlink" Target="https://selectel.ru/about/newsroom/news/selectel-planiruet-razmeshhenie-obligaczij-obemom-3-milliarda-rublej/" TargetMode="External"/><Relationship Id="rId85" Type="http://schemas.openxmlformats.org/officeDocument/2006/relationships/hyperlink" Target="https://selectel.ru/about/newsroom/news/investicionnyj-fond-tier-5-priobrel-25-provajdera-it-infrastruktury-selectel/" TargetMode="External"/><Relationship Id="rId86" Type="http://schemas.openxmlformats.org/officeDocument/2006/relationships/hyperlink" Target="https://investor.cisco.com/news/news-details/2023/Cisco-to-Acquire-Splunk-to-Help-Make-Organizations-More-Secure-and-Resilient-in-an-AI-Powered-World/default.aspx" TargetMode="External"/><Relationship Id="rId87" Type="http://schemas.openxmlformats.org/officeDocument/2006/relationships/hyperlink" Target="https://investors.broadcom.com/news-releases/news-release-details/broadcom-acquire-vmware-approximately-61-billion-cash-and-stock" TargetMode="External"/><Relationship Id="rId88" Type="http://schemas.openxmlformats.org/officeDocument/2006/relationships/hyperlink" Target="https://www.anaplan.com/news/thoma-bravo-completes-acquisition-of-anaplan/" TargetMode="External"/><Relationship Id="rId89" Type="http://schemas.openxmlformats.org/officeDocument/2006/relationships/hyperlink" Target="https://www.sec.gov/Archives/edgar/data/877890/000087789022000019/ctxs-20211231.htm" TargetMode="External"/><Relationship Id="rId90" Type="http://schemas.openxmlformats.org/officeDocument/2006/relationships/hyperlink" Target="https://news.microsoft.com/source/2022/01/18/microsoft-to-acquire-activision-blizzard-to-bring-the-joy-and-community-of-gaming-to-everyone-across-every-device/" TargetMode="External"/><Relationship Id="rId91" Type="http://schemas.openxmlformats.org/officeDocument/2006/relationships/hyperlink" Target="https://www.salesforce.com/news/press-releases/2020/12/01/salesforce-definitive-agreement-update/" TargetMode="External"/><Relationship Id="rId92" Type="http://schemas.openxmlformats.org/officeDocument/2006/relationships/hyperlink" Target="https://ir.amd.com/news-events/press-releases/detail/977/amd-to-acquire-xilinx-creating-the-industrys-high-performance-computing-leader" TargetMode="External"/><Relationship Id="rId93" Type="http://schemas.openxmlformats.org/officeDocument/2006/relationships/hyperlink" Target="https://www.salesforce.com/news/press-releases/2019/06/10/salesforce-signs-definitive-agreement-to-acquire-tableau/" TargetMode="External"/><Relationship Id="rId94" Type="http://schemas.openxmlformats.org/officeDocument/2006/relationships/hyperlink" Target="https://uk.newsroom.ibm.com/2018-10-28-IBM-To-Acquire-Red-Hat-Completely-Changing-The-Cloud-Landscape-And-Becoming-Worlds-1-Hybrid-Cloud-Provider" TargetMode="External"/><Relationship Id="rId95" Type="http://schemas.openxmlformats.org/officeDocument/2006/relationships/hyperlink" Target="https://news.microsoft.com/source/2016/06/13/microsoft-to-acquire-linkedin/" TargetMode="External"/><Relationship Id="rId96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353283/000135328323000011/splk-20230131.htm" TargetMode="External"/><Relationship Id="rId2" Type="http://schemas.openxmlformats.org/officeDocument/2006/relationships/hyperlink" Target="https://www.sec.gov/Archives/edgar/data/1124610/000112461022000009/vmw-20220128.htm" TargetMode="External"/><Relationship Id="rId3" Type="http://schemas.openxmlformats.org/officeDocument/2006/relationships/hyperlink" Target="https://www.sec.gov/Archives/edgar/data/1540755/000154075522000018/plan-20220131.htm" TargetMode="External"/><Relationship Id="rId4" Type="http://schemas.openxmlformats.org/officeDocument/2006/relationships/hyperlink" Target="https://www.sec.gov/Archives/edgar/data/877890/000087789022000019/ctxs-20211231.htm" TargetMode="External"/><Relationship Id="rId5" Type="http://schemas.openxmlformats.org/officeDocument/2006/relationships/hyperlink" Target="https://www.sec.gov/Archives/edgar/data/718877/000162828021002828/atvi-20201231.htm" TargetMode="External"/><Relationship Id="rId6" Type="http://schemas.openxmlformats.org/officeDocument/2006/relationships/hyperlink" Target="https://www.sec.gov/Archives/edgar/data/1764925/000176492520000251/a1312010-k.htm" TargetMode="External"/><Relationship Id="rId7" Type="http://schemas.openxmlformats.org/officeDocument/2006/relationships/hyperlink" Target="https://www.sec.gov/Archives/edgar/data/743988/000074398820000020/xlnx328202010k.htm" TargetMode="External"/><Relationship Id="rId8" Type="http://schemas.openxmlformats.org/officeDocument/2006/relationships/hyperlink" Target="https://www.sec.gov/Archives/edgar/data/1303652/000130365219000007/a10k2018.htm" TargetMode="External"/><Relationship Id="rId9" Type="http://schemas.openxmlformats.org/officeDocument/2006/relationships/hyperlink" Target="https://www.sec.gov/Archives/edgar/data/1087423/000108742318000010/rht-10kq4fy18.htm" TargetMode="External"/><Relationship Id="rId10" Type="http://schemas.openxmlformats.org/officeDocument/2006/relationships/hyperlink" Target="https://www.sec.gov/Archives/edgar/data/1271024/000127102416000035/a20151231-10xkdocument.htm" TargetMode="External"/><Relationship Id="rId1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ex.com/n101874" TargetMode="External"/><Relationship Id="rId2" Type="http://schemas.openxmlformats.org/officeDocument/2006/relationships/hyperlink" Target="https://www.moex.com/n101874" TargetMode="External"/><Relationship Id="rId3" Type="http://schemas.openxmlformats.org/officeDocument/2006/relationships/hyperlink" Target="https://ru.fashionnetwork.com/news/Amazon-namerena-privlech%CA%B9-25-mlrd-putem-razmeshcheniya-obligatsiy,1850796.html" TargetMode="External"/><Relationship Id="rId4" Type="http://schemas.openxmlformats.org/officeDocument/2006/relationships/hyperlink" Target="https://ru.fashionnetwork.com/news/Amazon-namerena-privlech%CA%B9-25-mlrd-putem-razmeshcheniya-obligatsiy,1850796.html&#xA;https://news.google.com/rss/articles/CBMiugFBVV95cUxON0Y2ZTlYZ0VCQU4wYWUzZEhxX2gxMlcxWThsSW1jaEJuYTk4b0g5QS1lTUM2V3lBWVRmeGM1YnRHZ28zT2ZCcGwzS3REM1JaYW4yYXRHbHpFVlNjV2VubUlIZTlXUzRpZk9XNU42UGFHX2dYcFVQb3RMYlhYN0xsRHFRejRSNEY2WFlBblNmclVSWmZPcnRsSlcxQm5DWWdqOUpBYjlsMXpXRmk3YXgzekNLN2ZzN2VwRlE?oc=5" TargetMode="External"/><Relationship Id="rId5" Type="http://schemas.openxmlformats.org/officeDocument/2006/relationships/hyperlink" Target="https://www.moex.com/n101851" TargetMode="External"/><Relationship Id="rId6" Type="http://schemas.openxmlformats.org/officeDocument/2006/relationships/hyperlink" Target="https://www.moex.com/n101851" TargetMode="External"/><Relationship Id="rId7" Type="http://schemas.openxmlformats.org/officeDocument/2006/relationships/hyperlink" Target="https://www.moex.com/n101830" TargetMode="External"/><Relationship Id="rId8" Type="http://schemas.openxmlformats.org/officeDocument/2006/relationships/hyperlink" Target="https://www.moex.com/n101830" TargetMode="External"/><Relationship Id="rId9" Type="http://schemas.openxmlformats.org/officeDocument/2006/relationships/hyperlink" Target="https://www.moex.com/n101798" TargetMode="External"/><Relationship Id="rId10" Type="http://schemas.openxmlformats.org/officeDocument/2006/relationships/hyperlink" Target="https://www.moex.com/n101798" TargetMode="External"/><Relationship Id="rId11" Type="http://schemas.openxmlformats.org/officeDocument/2006/relationships/hyperlink" Target="https://www.moex.com/n101795" TargetMode="External"/><Relationship Id="rId12" Type="http://schemas.openxmlformats.org/officeDocument/2006/relationships/hyperlink" Target="https://www.moex.com/n101795" TargetMode="External"/><Relationship Id="rId13" Type="http://schemas.openxmlformats.org/officeDocument/2006/relationships/hyperlink" Target="https://news.mondiara.com/categories/186/posts/241739" TargetMode="External"/><Relationship Id="rId14" Type="http://schemas.openxmlformats.org/officeDocument/2006/relationships/hyperlink" Target="https://news.mondiara.com/categories/186/posts/241739" TargetMode="External"/><Relationship Id="rId15" Type="http://schemas.openxmlformats.org/officeDocument/2006/relationships/hyperlink" Target="https://www.vedomosti.ru/investments/news/2026/07/06/1211561-mosbirzhe-sdelki" TargetMode="External"/><Relationship Id="rId16" Type="http://schemas.openxmlformats.org/officeDocument/2006/relationships/hyperlink" Target="https://www.vedomosti.ru/investments/news/2026/07/06/1211561-mosbirzhe-sdelki&#xA;https://news.google.com/rss/articles/CBMigwFBVV95cUxNeHVnbUZPZ1QwRW1RNmk5UXFXbzdqazNPVERsLS1UbElfOWkwaEtVaTV2WUlsNnhwVGJkSVE1R0tnOEpJSXZHWkNJcEhuN1N6ZXlpanYwanNSb3FWdElYMFZOemVLNTczaWVYcHZlQzBCN01FbjFKWGdFQkt2V2IwRk81MA?oc=5" TargetMode="External"/><Relationship Id="rId17" Type="http://schemas.openxmlformats.org/officeDocument/2006/relationships/hyperlink" Target="https://www.moex.com/n101768" TargetMode="External"/><Relationship Id="rId18" Type="http://schemas.openxmlformats.org/officeDocument/2006/relationships/hyperlink" Target="https://www.moex.com/n101768" TargetMode="External"/><Relationship Id="rId19" Type="http://schemas.openxmlformats.org/officeDocument/2006/relationships/hyperlink" Target="https://www.moex.com/n101755" TargetMode="External"/><Relationship Id="rId20" Type="http://schemas.openxmlformats.org/officeDocument/2006/relationships/hyperlink" Target="https://www.moex.com/n101755" TargetMode="External"/><Relationship Id="rId21" Type="http://schemas.openxmlformats.org/officeDocument/2006/relationships/hyperlink" Target="https://www.moex.com/n101762" TargetMode="External"/><Relationship Id="rId22" Type="http://schemas.openxmlformats.org/officeDocument/2006/relationships/hyperlink" Target="https://www.moex.com/n101762" TargetMode="External"/><Relationship Id="rId23" Type="http://schemas.openxmlformats.org/officeDocument/2006/relationships/hyperlink" Target="https://alfabank.ru/alfa-investor/posts/t/0f76d7ad-de76-f111-91c8-0050569e1fd0/" TargetMode="External"/><Relationship Id="rId24" Type="http://schemas.openxmlformats.org/officeDocument/2006/relationships/hyperlink" Target="https://alfabank.ru/alfa-investor/posts/t/0f76d7ad-de76-f111-91c8-0050569e1fd0/" TargetMode="External"/><Relationship Id="rId25" Type="http://schemas.openxmlformats.org/officeDocument/2006/relationships/hyperlink" Target="https://bcs-express.ru/profit/post/c04797af-4e2e-4910-8d54-2d182d38008c" TargetMode="External"/><Relationship Id="rId26" Type="http://schemas.openxmlformats.org/officeDocument/2006/relationships/hyperlink" Target="https://bcs-express.ru/profit/post/c04797af-4e2e-4910-8d54-2d182d38008c&#xA;https://news.google.com/rss/articles/CBMie0FVX3lxTFBKQjBIVS1HWGJtaWhwQU1tQTNveVVPQWhxY3c0VGQxLXBLSXRHWU0tQnJGdGNFa2p5aW9uM19ERkpUVVRPWURMVmFhR1kwZ19SSUlCOWRTSHVOMmJ1WnN2b0lueFRHS1lHeTUtMnV5andwS1pzejBpQy1OMA?oc=5" TargetMode="External"/><Relationship Id="rId27" Type="http://schemas.openxmlformats.org/officeDocument/2006/relationships/hyperlink" Target="https://ru.investing.com/analysis/article-200333133" TargetMode="External"/><Relationship Id="rId28" Type="http://schemas.openxmlformats.org/officeDocument/2006/relationships/hyperlink" Target="https://ru.investing.com/analysis/article-200333133" TargetMode="External"/><Relationship Id="rId29" Type="http://schemas.openxmlformats.org/officeDocument/2006/relationships/hyperlink" Target="https://news.google.com/rss/articles/CBMiQkFVX3lxTE4xQlkzTklhYTlOaGd1ZXM0QUxfQ1htR29nMm1iX1JpWWlSb1l6ZzBGRUEwMDdRVzUyRDUxcmlZUEtVdw?oc=5" TargetMode="External"/><Relationship Id="rId30" Type="http://schemas.openxmlformats.org/officeDocument/2006/relationships/hyperlink" Target="https://news.google.com/rss/articles/CBMiQkFVX3lxTE4xQlkzTklhYTlOaGd1ZXM0QUxfQ1htR29nMm1iX1JpWWlSb1l6ZzBGRUEwMDdRVzUyRDUxcmlZUEtVdw?oc=5" TargetMode="External"/><Relationship Id="rId31" Type="http://schemas.openxmlformats.org/officeDocument/2006/relationships/hyperlink" Target="https://www.moex.com/n101717" TargetMode="External"/><Relationship Id="rId32" Type="http://schemas.openxmlformats.org/officeDocument/2006/relationships/hyperlink" Target="https://www.moex.com/n101717" TargetMode="External"/><Relationship Id="rId33" Type="http://schemas.openxmlformats.org/officeDocument/2006/relationships/hyperlink" Target="https://www.moex.com/n101722" TargetMode="External"/><Relationship Id="rId34" Type="http://schemas.openxmlformats.org/officeDocument/2006/relationships/hyperlink" Target="https://www.moex.com/n101722" TargetMode="External"/><Relationship Id="rId35" Type="http://schemas.openxmlformats.org/officeDocument/2006/relationships/hyperlink" Target="https://www.moex.com/n101737" TargetMode="External"/><Relationship Id="rId36" Type="http://schemas.openxmlformats.org/officeDocument/2006/relationships/hyperlink" Target="https://www.moex.com/n101737" TargetMode="External"/><Relationship Id="rId37" Type="http://schemas.openxmlformats.org/officeDocument/2006/relationships/hyperlink" Target="https://www.moex.com/n101734" TargetMode="External"/><Relationship Id="rId38" Type="http://schemas.openxmlformats.org/officeDocument/2006/relationships/hyperlink" Target="https://www.moex.com/n101734" TargetMode="External"/><Relationship Id="rId39" Type="http://schemas.openxmlformats.org/officeDocument/2006/relationships/hyperlink" Target="https://www.moex.com/n101738" TargetMode="External"/><Relationship Id="rId40" Type="http://schemas.openxmlformats.org/officeDocument/2006/relationships/hyperlink" Target="https://www.moex.com/n101738" TargetMode="External"/><Relationship Id="rId41" Type="http://schemas.openxmlformats.org/officeDocument/2006/relationships/hyperlink" Target="https://www.moex.com/n101663" TargetMode="External"/><Relationship Id="rId42" Type="http://schemas.openxmlformats.org/officeDocument/2006/relationships/hyperlink" Target="https://www.moex.com/n101663" TargetMode="External"/><Relationship Id="rId43" Type="http://schemas.openxmlformats.org/officeDocument/2006/relationships/hyperlink" Target="https://www.moex.com/n101666" TargetMode="External"/><Relationship Id="rId44" Type="http://schemas.openxmlformats.org/officeDocument/2006/relationships/hyperlink" Target="https://www.moex.com/n101666" TargetMode="External"/><Relationship Id="rId45" Type="http://schemas.openxmlformats.org/officeDocument/2006/relationships/hyperlink" Target="https://www.moex.com/n101684" TargetMode="External"/><Relationship Id="rId46" Type="http://schemas.openxmlformats.org/officeDocument/2006/relationships/hyperlink" Target="https://www.moex.com/n101684" TargetMode="External"/><Relationship Id="rId47" Type="http://schemas.openxmlformats.org/officeDocument/2006/relationships/hyperlink" Target="https://www.moex.com/n101691" TargetMode="External"/><Relationship Id="rId48" Type="http://schemas.openxmlformats.org/officeDocument/2006/relationships/hyperlink" Target="https://www.moex.com/n101691" TargetMode="External"/><Relationship Id="rId49" Type="http://schemas.openxmlformats.org/officeDocument/2006/relationships/hyperlink" Target="https://www.moex.com/n101690" TargetMode="External"/><Relationship Id="rId50" Type="http://schemas.openxmlformats.org/officeDocument/2006/relationships/hyperlink" Target="https://www.moex.com/n101690" TargetMode="External"/><Relationship Id="rId51" Type="http://schemas.openxmlformats.org/officeDocument/2006/relationships/hyperlink" Target="https://www.moex.com/n101688" TargetMode="External"/><Relationship Id="rId52" Type="http://schemas.openxmlformats.org/officeDocument/2006/relationships/hyperlink" Target="https://www.moex.com/n101688" TargetMode="External"/><Relationship Id="rId53" Type="http://schemas.openxmlformats.org/officeDocument/2006/relationships/hyperlink" Target="https://prospect.com.ru/news/6836117/vtb-poluchil-v-zalog-krupnyj-paket-aktsij-ozon-summa-sdelki-320-milliardov-rublej.html" TargetMode="External"/><Relationship Id="rId54" Type="http://schemas.openxmlformats.org/officeDocument/2006/relationships/hyperlink" Target="https://prospect.com.ru/news/6836117/vtb-poluchil-v-zalog-krupnyj-paket-aktsij-ozon-summa-sdelki-320-milliardov-rublej.html" TargetMode="External"/><Relationship Id="rId55" Type="http://schemas.openxmlformats.org/officeDocument/2006/relationships/hyperlink" Target="https://investfuture.ru/articles/vtb-poluchaet-v-zalog-krupniy-paket-aktsiy-ozona-v-sdelke-na-300-0-mlrd-rubley-37123084" TargetMode="External"/><Relationship Id="rId56" Type="http://schemas.openxmlformats.org/officeDocument/2006/relationships/hyperlink" Target="https://investfuture.ru/articles/vtb-poluchaet-v-zalog-krupniy-paket-aktsiy-ozona-v-sdelke-na-300-0-mlrd-rubley-37123084" TargetMode="External"/><Relationship Id="rId57" Type="http://schemas.openxmlformats.org/officeDocument/2006/relationships/hyperlink" Target="https://news.google.com/rss/articles/CBMivAFBVV95cUxOSVducUpMYTF6UkQtcDM2WkZQbERaLUtvSE5tVjFlV29QOEtobm9YWWlSUG0tU3F3NDFmQXNEVU1uc1Z4WWt4MVpNTTlfNDdaVU1NYW9nVUxBRnN3QkN0bE5WTW45VXlCc2UzX2tCazd5dmRuUXU0MEo1cUNSVHVUZ2dtbnRDTFU0RFdSNnNRNElnUGVSMGFLV3V6U3BIaDhzSFNWbUxBZEFvaU1vQng2VVJveDlNMzRLNzhpQQ?oc=5" TargetMode="External"/><Relationship Id="rId58" Type="http://schemas.openxmlformats.org/officeDocument/2006/relationships/hyperlink" Target="https://news.google.com/rss/articles/CBMivAFBVV95cUxOSVducUpMYTF6UkQtcDM2WkZQbERaLUtvSE5tVjFlV29QOEtobm9YWWlSUG0tU3F3NDFmQXNEVU1uc1Z4WWt4MVpNTTlfNDdaVU1NYW9nVUxBRnN3QkN0bE5WTW45VXlCc2UzX2tCazd5dmRuUXU0MEo1cUNSVHVUZ2dtbnRDTFU0RFdSNnNRNElnUGVSMGFLV3V6U3BIaDhzSFNWbUxBZEFvaU1vQng2VVJveDlNMzRLNzhpQQ?oc=5" TargetMode="External"/><Relationship Id="rId59" Type="http://schemas.openxmlformats.org/officeDocument/2006/relationships/hyperlink" Target="https://news.google.com/rss/articles/CBMirwFBVV95cUxNUUFGSWNSdEZMRWFsMmN4THZGWWMtcUpNc1JTTk8waEFwRWpNUG5zQ1JqeUlSWUVwaEJuU1pQeFd0ajJ4LXEyZ2hpUVBVRW9NT2lMSlRjRm41Rm52UTRXVVVGQ1pQcmxvUml3enBUT05KT1pxNU5JdVBDamV5TjFxd3BzazZPYmpIaHJyN3FPN2ExWGNlVjItSmJyTmxtWHZkWlBpRjJBNU8tTk0zUVlv?oc=5" TargetMode="External"/><Relationship Id="rId60" Type="http://schemas.openxmlformats.org/officeDocument/2006/relationships/hyperlink" Target="https://news.google.com/rss/articles/CBMirwFBVV95cUxNUUFGSWNSdEZMRWFsMmN4THZGWWMtcUpNc1JTTk8waEFwRWpNUG5zQ1JqeUlSWUVwaEJuU1pQeFd0ajJ4LXEyZ2hpUVBVRW9NT2lMSlRjRm41Rm52UTRXVVVGQ1pQcmxvUml3enBUT05KT1pxNU5JdVBDamV5TjFxd3BzazZPYmpIaHJyN3FPN2ExWGNlVjItSmJyTmxtWHZkWlBpRjJBNU8tTk0zUVlv?oc=5" TargetMode="External"/><Relationship Id="rId61" Type="http://schemas.openxmlformats.org/officeDocument/2006/relationships/hyperlink" Target="https://www.finam.ru/publications/item/rynok-pytaetsya-rasti-aktsii-sistemy-ostayutsya-v-liderakh-padeniya-posle-sdelki-s-vtb-20260701-1023/" TargetMode="External"/><Relationship Id="rId62" Type="http://schemas.openxmlformats.org/officeDocument/2006/relationships/hyperlink" Target="https://www.finam.ru/publications/item/rynok-pytaetsya-rasti-aktsii-sistemy-ostayutsya-v-liderakh-padeniya-posle-sdelki-s-vtb-20260701-1023/&#xA;https://news.google.com/rss/articles/CBMi1wFBVV95cUxQWTljcnZhaklYTlhua0ZmR2NLOF96U0p5YzhoOEVMNjRmTURpbmdFNHFzZEE5eEtIa1UyaHRUd0U4SmNhbEZtQ09ZVmxzdXNHZUk1dXZrRkdOenNQQXRXSTB4SG94RmhJWjAyU25VdnkyYlhMV3d2ZTFPR2FIVjVDWWNoZ2pjYldlUHN3dUxrUzBlMzJyMFFGRVNpOGZsWkdjN2paOG01anhlVVBxR29ncktDYzE5SmduYkt4S0o0VWdBM0FndTd3TlNZamtBdW05NTM2c2xvUQ?oc=5" TargetMode="External"/><Relationship Id="rId63" Type="http://schemas.openxmlformats.org/officeDocument/2006/relationships/hyperlink" Target="https://www.moex.com/n101632" TargetMode="External"/><Relationship Id="rId64" Type="http://schemas.openxmlformats.org/officeDocument/2006/relationships/hyperlink" Target="https://www.moex.com/n101632" TargetMode="External"/><Relationship Id="rId65" Type="http://schemas.openxmlformats.org/officeDocument/2006/relationships/hyperlink" Target="https://www.moex.com/n101636" TargetMode="External"/><Relationship Id="rId66" Type="http://schemas.openxmlformats.org/officeDocument/2006/relationships/hyperlink" Target="https://www.moex.com/n101636" TargetMode="External"/><Relationship Id="rId67" Type="http://schemas.openxmlformats.org/officeDocument/2006/relationships/hyperlink" Target="https://www.moex.com/n101641" TargetMode="External"/><Relationship Id="rId68" Type="http://schemas.openxmlformats.org/officeDocument/2006/relationships/hyperlink" Target="https://www.moex.com/n101641" TargetMode="External"/><Relationship Id="rId69" Type="http://schemas.openxmlformats.org/officeDocument/2006/relationships/hyperlink" Target="https://www.moex.com/n101644" TargetMode="External"/><Relationship Id="rId70" Type="http://schemas.openxmlformats.org/officeDocument/2006/relationships/hyperlink" Target="https://www.moex.com/n101644" TargetMode="External"/><Relationship Id="rId71" Type="http://schemas.openxmlformats.org/officeDocument/2006/relationships/hyperlink" Target="https://tradersunion.com/ru/news/institutions/show/2532310-moscow-exchange-sberbank-bonds-ios-ydex/" TargetMode="External"/><Relationship Id="rId72" Type="http://schemas.openxmlformats.org/officeDocument/2006/relationships/hyperlink" Target="https://tradersunion.com/ru/news/institutions/show/2532310-moscow-exchange-sberbank-bonds-ios-ydex/" TargetMode="External"/><Relationship Id="rId73" Type="http://schemas.openxmlformats.org/officeDocument/2006/relationships/hyperlink" Target="https://bcs-express.ru/novosti-i-analitika/vush-zavershil-pervyi-etap-razmeshcheniia-obligatsii" TargetMode="External"/><Relationship Id="rId74" Type="http://schemas.openxmlformats.org/officeDocument/2006/relationships/hyperlink" Target="https://bcs-express.ru/novosti-i-analitika/vush-zavershil-pervyi-etap-razmeshcheniia-obligatsii&#xA;https://news.google.com/rss/articles/CBMimwFBVV95cUxNRV9jMHp5WjVNUWp0Wk0ydlNWT0NhcXVqaldIcVNJbXBBaTBWcW9nTUo5ZnlleF9WOFUxUmVqUGlfNlVObGVmTHNMNVlGenZEUXdmSE1Xa3RDWkpwXy1tZjdyXzdFbUw1SDdpQ2lQOF80Q0pFNmZmVjh1Q2xsU0NoX3VZUjVCSGFjNWZkeGdOSlVoYzFHOWtFeXptSQ?oc=5" TargetMode="External"/><Relationship Id="rId75" Type="http://schemas.openxmlformats.org/officeDocument/2006/relationships/hyperlink" Target="https://www.moex.com/n101536" TargetMode="External"/><Relationship Id="rId76" Type="http://schemas.openxmlformats.org/officeDocument/2006/relationships/hyperlink" Target="https://www.moex.com/n101536" TargetMode="External"/><Relationship Id="rId77" Type="http://schemas.openxmlformats.org/officeDocument/2006/relationships/hyperlink" Target="https://www.moex.com/n101565" TargetMode="External"/><Relationship Id="rId78" Type="http://schemas.openxmlformats.org/officeDocument/2006/relationships/hyperlink" Target="https://www.moex.com/n101565" TargetMode="External"/><Relationship Id="rId79" Type="http://schemas.openxmlformats.org/officeDocument/2006/relationships/hyperlink" Target="https://www.moex.com/n101562" TargetMode="External"/><Relationship Id="rId80" Type="http://schemas.openxmlformats.org/officeDocument/2006/relationships/hyperlink" Target="https://www.moex.com/n101562" TargetMode="External"/><Relationship Id="rId81" Type="http://schemas.openxmlformats.org/officeDocument/2006/relationships/hyperlink" Target="https://www.moex.com/n101561" TargetMode="External"/><Relationship Id="rId82" Type="http://schemas.openxmlformats.org/officeDocument/2006/relationships/hyperlink" Target="https://www.moex.com/n101561" TargetMode="External"/><Relationship Id="rId83" Type="http://schemas.openxmlformats.org/officeDocument/2006/relationships/hyperlink" Target="https://www.moex.com/n101559" TargetMode="External"/><Relationship Id="rId84" Type="http://schemas.openxmlformats.org/officeDocument/2006/relationships/hyperlink" Target="https://www.moex.com/n101559" TargetMode="External"/><Relationship Id="rId85" Type="http://schemas.openxmlformats.org/officeDocument/2006/relationships/hyperlink" Target="https://finance.mail.ru/article/vyipusk-obligatsij-spacex-na-25-mlrd-vyizval-opaseniya-investorov-69215522/" TargetMode="External"/><Relationship Id="rId86" Type="http://schemas.openxmlformats.org/officeDocument/2006/relationships/hyperlink" Target="https://finance.mail.ru/article/vyipusk-obligatsij-spacex-na-25-mlrd-vyizval-opaseniya-investorov-69215522/&#xA;https://news.google.com/rss/articles/CBMiqwFBVV95cUxPWUR4bzZnZ2lmZG50NjRhZ0xlODRSRVNicW9xVkszWHFPQ2dqSUNzWHVzbG9qVkU3bmRBUWp4QlF1X3lBY0dycVBodG94YVhyalVscktnY0VOeVpBN1pzVXFJa1Faa3JxVzhCNkVaRk9ibThTTFpEeDRyUlgxdDlRc25WX21lZ0lCQkU0eG5xakFwTW5hSmE1YmpzS0xqdW8yUm5YcnVUREJuRW8?oc=5" TargetMode="External"/><Relationship Id="rId87" Type="http://schemas.openxmlformats.org/officeDocument/2006/relationships/hyperlink" Target="https://www.finam.ru/publications/item/razmeshcheniya-aktsiy-v-ssha-v-1-polugodii-sostavili-rekordnye-251-mlrd-blagodarya-spacex-20260629-1601/" TargetMode="External"/><Relationship Id="rId88" Type="http://schemas.openxmlformats.org/officeDocument/2006/relationships/hyperlink" Target="https://www.finam.ru/publications/item/razmeshcheniya-aktsiy-v-ssha-v-1-polugodii-sostavili-rekordnye-251-mlrd-blagodarya-spacex-20260629-1601/&#xA;https://news.google.com/rss/articles/CBMi2wFBVV95cUxQMUluQnhHVzdTZ2hQMG5XNU9YQzl1bmYySTlyTzllSURESWR5dWZIbXJ1Q2lyWFRpSm5QcjNpazQzeVFlbm9OanNzbzl3bU1ZQnV2ZnpjM3B1eTJuX1lwYlFIa01aRU1YWjFCUmhycUpuQTF1bXQwT1Q2RGJsUzhUT2ZJSmdXTUtTYVZjLW4tWllONS0yQXg1WjJuVER6NVRxUjh1d0l1TTQ0TUZOcTBINlRETEVreHA4ZF8zWTRTWU1vTmdOYWkzMlVqVkJFTDJoX1dFaWdfN04zdE0?oc=5" TargetMode="External"/><Relationship Id="rId89" Type="http://schemas.openxmlformats.org/officeDocument/2006/relationships/hyperlink" Target="https://ir.mts.ru/news_and_events/corporate_releases/details/742414" TargetMode="External"/><Relationship Id="rId90" Type="http://schemas.openxmlformats.org/officeDocument/2006/relationships/hyperlink" Target="https://ir.mts.ru/news_and_events/corporate_releases/details/742414" TargetMode="External"/><Relationship Id="rId91" Type="http://schemas.openxmlformats.org/officeDocument/2006/relationships/hyperlink" Target="https://finance.mail.ru/article/molodyie-investoryi-uvelichili-vlozheniya-v-obligatsii-v-dva-raza-69215293/" TargetMode="External"/><Relationship Id="rId92" Type="http://schemas.openxmlformats.org/officeDocument/2006/relationships/hyperlink" Target="https://finance.mail.ru/article/molodyie-investoryi-uvelichili-vlozheniya-v-obligatsii-v-dva-raza-69215293/&#xA;https://news.google.com/rss/articles/CBMiqwFBVV95cUxNenMyZU1IMU1iN1IxdTdWZG9ER2NzWGw5dUdBWkRpWDFhbWVHcDB3bUZNNmlFTzA5YUQxSWozdFFPQ3NlNjd3TzNkdm1CN1BOTzNkRWZuS0lYbTNPSk5LckF2U1hFd3FrVDYxUHNaQ3ltSk5JVFlEU0lyMFZkSkdLVWxaaENWeHMxdmtjVDd6UVdVWExocllTZkRnUnhuVWxocjBoUXBPMUxncFk?oc=5" TargetMode="External"/><Relationship Id="rId93" Type="http://schemas.openxmlformats.org/officeDocument/2006/relationships/hyperlink" Target="https://www.foreignpolicyjournal.com/2026/06/26/nebius-group-nasdaq-nbis-completes-eigen-ai-acquisition-analyst-lifts-stock-price-target-to-280/" TargetMode="External"/><Relationship Id="rId94" Type="http://schemas.openxmlformats.org/officeDocument/2006/relationships/hyperlink" Target="https://www.foreignpolicyjournal.com/2026/06/26/nebius-group-nasdaq-nbis-completes-eigen-ai-acquisition-analyst-lifts-stock-price-target-to-280/" TargetMode="External"/><Relationship Id="rId95" Type="http://schemas.openxmlformats.org/officeDocument/2006/relationships/hyperlink" Target="https://www.moex.com/n101473" TargetMode="External"/><Relationship Id="rId96" Type="http://schemas.openxmlformats.org/officeDocument/2006/relationships/hyperlink" Target="https://www.moex.com/n101473" TargetMode="External"/><Relationship Id="rId97" Type="http://schemas.openxmlformats.org/officeDocument/2006/relationships/hyperlink" Target="https://www.moex.com/n101492" TargetMode="External"/><Relationship Id="rId98" Type="http://schemas.openxmlformats.org/officeDocument/2006/relationships/hyperlink" Target="https://www.moex.com/n101492" TargetMode="External"/><Relationship Id="rId99" Type="http://schemas.openxmlformats.org/officeDocument/2006/relationships/hyperlink" Target="https://www.moex.com/n101468" TargetMode="External"/><Relationship Id="rId100" Type="http://schemas.openxmlformats.org/officeDocument/2006/relationships/hyperlink" Target="https://www.moex.com/n101468" TargetMode="External"/><Relationship Id="rId101" Type="http://schemas.openxmlformats.org/officeDocument/2006/relationships/hyperlink" Target="https://www.moex.com/n101457" TargetMode="External"/><Relationship Id="rId102" Type="http://schemas.openxmlformats.org/officeDocument/2006/relationships/hyperlink" Target="https://www.moex.com/n101457" TargetMode="External"/><Relationship Id="rId103" Type="http://schemas.openxmlformats.org/officeDocument/2006/relationships/hyperlink" Target="https://www.moex.com/n101454" TargetMode="External"/><Relationship Id="rId104" Type="http://schemas.openxmlformats.org/officeDocument/2006/relationships/hyperlink" Target="https://www.moex.com/n101454" TargetMode="External"/><Relationship Id="rId105" Type="http://schemas.openxmlformats.org/officeDocument/2006/relationships/hyperlink" Target="https://www.moex.com/n101451" TargetMode="External"/><Relationship Id="rId106" Type="http://schemas.openxmlformats.org/officeDocument/2006/relationships/hyperlink" Target="https://www.moex.com/n101451" TargetMode="External"/><Relationship Id="rId107" Type="http://schemas.openxmlformats.org/officeDocument/2006/relationships/hyperlink" Target="https://www.moex.com/n101450" TargetMode="External"/><Relationship Id="rId108" Type="http://schemas.openxmlformats.org/officeDocument/2006/relationships/hyperlink" Target="https://www.moex.com/n101450" TargetMode="External"/><Relationship Id="rId109" Type="http://schemas.openxmlformats.org/officeDocument/2006/relationships/hyperlink" Target="https://www.comnews.ru/content/246003/2026-06-25/2026-w26/1008/selectel-razmestit-obligacii-5-mlrd-rub-dlya-refinansirovaniya-i-investiciy" TargetMode="External"/><Relationship Id="rId110" Type="http://schemas.openxmlformats.org/officeDocument/2006/relationships/hyperlink" Target="https://www.comnews.ru/content/246003/2026-06-25/2026-w26/1008/selectel-razmestit-obligacii-5-mlrd-rub-dlya-refinansirovaniya-i-investiciy" TargetMode="External"/><Relationship Id="rId111" Type="http://schemas.openxmlformats.org/officeDocument/2006/relationships/hyperlink" Target="https://ir.yandex.ru/press-releases?year=2026&amp;id=19-06-2026-03" TargetMode="External"/><Relationship Id="rId112" Type="http://schemas.openxmlformats.org/officeDocument/2006/relationships/hyperlink" Target="https://ir.yandex.ru/press-releases?year=2026&amp;id=19-06-2026-03" TargetMode="External"/><Relationship Id="rId113" Type="http://schemas.openxmlformats.org/officeDocument/2006/relationships/hyperlink" Target="https://www.finam.ru/publications/item/yandeks-vnov-vykhodit-na-dolgovoy-rynok-razbor-dvoynogo-razmeshcheniya-obligatsiy-20260608-1729/" TargetMode="External"/><Relationship Id="rId114" Type="http://schemas.openxmlformats.org/officeDocument/2006/relationships/hyperlink" Target="https://www.finam.ru/publications/item/yandeks-vnov-vykhodit-na-dolgovoy-rynok-razbor-dvoynogo-razmeshcheniya-obligatsiy-20260608-1729/&#xA;https://news.google.com/rss/articles/CBMi0AFBVV95cUxOSmlOMWRURDFvUlZqYktKazJXOFhWR1ZMamNuTGF2QlJ0YmIxTmF6RDMtSHF1Y2RTRkc5QWlnZXQ3WUdUMTB4QUNzUy0zT3I2eGJZSW1DWUxaVDlvR1lrNVhZZ3kybDNrb0tXd0FqMkxHQXNWRFhjcFp0MUI3alRKN1BWdlBSN2V2VWphOUxBQkNjc0l1UDF4WTRKZXkxNHlzSmhIRkhmR2pXc1pKLVV4MzJIN0pLZlVkQ3JvZ2d4aFphcXJkd0F3Z1VKYmdPUUdJ?oc=5" TargetMode="External"/><Relationship Id="rId115" Type="http://schemas.openxmlformats.org/officeDocument/2006/relationships/hyperlink" Target="https://investfuture.ru/articles/yandeks-razmeschaet-birzhevye-obligatsii-na-30-0-mlrd-rub-s-kuponami-k-klyuchevoy-stavke-1180967705" TargetMode="External"/><Relationship Id="rId116" Type="http://schemas.openxmlformats.org/officeDocument/2006/relationships/hyperlink" Target="https://investfuture.ru/articles/yandeks-razmeschaet-birzhevye-obligatsii-na-30-0-mlrd-rub-s-kuponami-k-klyuchevoy-stavke-1180967705&#xA;https://news.google.com/rss/articles/CBMizAFBVV95cUxQREdVRzA0SXpMZ3ZsVU94SUxuZmVfeVpfeXYxd3hLLUdnZVNndnNNeThWRkF5NTFUMWhETEhLTmlUb3FqdlFYcjJiTE9DdDNlVWdRY2tIVWswUkkwS2dDd0NaemJuaVlSNUg1LUpOc01IZlVmUEhZeDd0czlkQUp6anV6dDVZT1JZMDd3QXNRWWNBOVhTdDVDVVpmMmdRTnJBNWVORXMtRF9saTNjUEMwUm0yZkt3UWNrZ0ZPT1pidVV4bWo4bWw0VkZ1VmE?oc=5" TargetMode="External"/><Relationship Id="rId117" Type="http://schemas.openxmlformats.org/officeDocument/2006/relationships/hyperlink" Target="https://news.google.com/rss/articles/CBMiUkFVX3lxTE1YcWRJT1pJS3JQYUlDcVBxQmRrd2JFXzdidEJQMkRoTFVIRlBDUnQ5ZjNSMFZGamhRQ1hoTXFwaUVQMW1PZldFWWhvSzdOdmtSQnfSAUtBVV95cUxQWkQ5UHd5NFJieHBKUTVCZURpX1dEWmM4a2FnOXJ3aUREYi04ZGFUclFMNUxBdU1EMFVYWUU4MlhCaXJfTy1NZlVNXzg?oc=5" TargetMode="External"/><Relationship Id="rId118" Type="http://schemas.openxmlformats.org/officeDocument/2006/relationships/hyperlink" Target="https://news.google.com/rss/articles/CBMiUkFVX3lxTE1YcWRJT1pJS3JQYUlDcVBxQmRrd2JFXzdidEJQMkRoTFVIRlBDUnQ5ZjNSMFZGamhRQ1hoTXFwaUVQMW1PZldFWWhvSzdOdmtSQnfSAUtBVV95cUxQWkQ5UHd5NFJieHBKUTVCZURpX1dEWmM4a2FnOXJ3aUREYi04ZGFUclFMNUxBdU1EMFVYWUU4MlhCaXJfTy1NZlVNXzg?oc=5" TargetMode="External"/><Relationship Id="rId119" Type="http://schemas.openxmlformats.org/officeDocument/2006/relationships/hyperlink" Target="https://bcs-express.ru/novosti-i-analitika/gref-oproverg-dogovorennost-sbera-o-pokupke-doli-v-ozone" TargetMode="External"/><Relationship Id="rId120" Type="http://schemas.openxmlformats.org/officeDocument/2006/relationships/hyperlink" Target="https://bcs-express.ru/novosti-i-analitika/gref-oproverg-dogovorennost-sbera-o-pokupke-doli-v-ozone&#xA;https://news.google.com/rss/articles/CBMioAFBVV95cUxQM0RKYTRnLW8xX0tVdnh1S3RBQ25IUTNrRGtWSTRudTJVU3A3UXpmZjZCR2ItX2NQNmN1aXdPYUpDN0paWHBfUjBNd2xrWWl6Mk9Zel9MREpqcXl1RUpoUXB2MWNPdFBoYV94Mm0zNkVtcVZFM050R2Jqc2ZKQVdlbkVhVmhuNXZpQWd5STAzOW9fYndtQTBpM0JLTWJmMjlq?oc=5" TargetMode="External"/><Relationship Id="rId121" Type="http://schemas.openxmlformats.org/officeDocument/2006/relationships/hyperlink" Target="https://sia.ru/?section\=484\&amp;action\=show_news\&amp;id\=16828609" TargetMode="External"/><Relationship Id="rId122" Type="http://schemas.openxmlformats.org/officeDocument/2006/relationships/hyperlink" Target="https://sia.ru/?section\=484\&amp;action\=show_news\&amp;id\=16828609&#xA;https://news.google.com/rss/articles/CBMiZ0FVX3lxTE9USzZyMG9pZVA0SGstbWJZRGRwOGxWLTNrc0Vva0xDU1lJV3ZlUDRGTURxZXd0LVVUZXFELWdzM2tVVHB3MHlHNjQzSDFyN3JnbHRRYlFnQnJjX1pqMzB5V3dGTnBUcGc?oc=5" TargetMode="External"/><Relationship Id="rId123" Type="http://schemas.openxmlformats.org/officeDocument/2006/relationships/hyperlink" Target="https://rb.ru/news/sber-mozhet-kupit-akcii-v-ozon-na-30-mlrd-investkompaniya-afk-sistema-otricaet-informaciyu-o-prodazhe-doli/" TargetMode="External"/><Relationship Id="rId124" Type="http://schemas.openxmlformats.org/officeDocument/2006/relationships/hyperlink" Target="https://rb.ru/news/sber-mozhet-kupit-akcii-v-ozon-na-30-mlrd-investkompaniya-afk-sistema-otricaet-informaciyu-o-prodazhe-doli/&#xA;https://news.google.com/rss/articles/CBMixAFBVV95cUxOZGNTQll0aVZOSDFubmt0bU5BdWNXNVA0WFZaOFdKa3B1VkctYXdkU25tLVdQSlNjNjFBYzA0ZzFYbVZKRnNKMk9Cb3RkSFYtaVFUR0JVc0pMNkNFUnFaeUdJX1JKRWlqMUZKeHo3UTZNaDU3LUc2RWxDd2FMYTUyUTEtY1dhcHFUVlJ4ZDlDS19SVkF5a0tqS0duRkljSWNNN0NLajJrSDZVdDNNR2ZfNVlyTVBvb0xFOXdFYmtpb2ZjTXRi?oc=5" TargetMode="External"/><Relationship Id="rId125" Type="http://schemas.openxmlformats.org/officeDocument/2006/relationships/hyperlink" Target="https://alfabank.ru/alfa-investor/posts/t/2af58b47-265b-f111-91c6-0050569e1fd0/" TargetMode="External"/><Relationship Id="rId126" Type="http://schemas.openxmlformats.org/officeDocument/2006/relationships/hyperlink" Target="https://alfabank.ru/alfa-investor/posts/t/2af58b47-265b-f111-91c6-0050569e1fd0/" TargetMode="External"/><Relationship Id="rId127" Type="http://schemas.openxmlformats.org/officeDocument/2006/relationships/hyperlink" Target="https://alfabank.ru/alfa-investor/posts/t/06d3da91-dd5a-f111-91c6-0050569e1fd0/" TargetMode="External"/><Relationship Id="rId128" Type="http://schemas.openxmlformats.org/officeDocument/2006/relationships/hyperlink" Target="https://alfabank.ru/alfa-investor/posts/t/06d3da91-dd5a-f111-91c6-0050569e1fd0/" TargetMode="External"/><Relationship Id="rId129" Type="http://schemas.openxmlformats.org/officeDocument/2006/relationships/hyperlink" Target="https://www.finam.ru/publications/item/aktsii-afk-sistema-podskochili-na-7-na-soobshcheniyakh-o-pokupke-doli-ozona-strukturami-sbera-20260528-1910/" TargetMode="External"/><Relationship Id="rId130" Type="http://schemas.openxmlformats.org/officeDocument/2006/relationships/hyperlink" Target="https://www.finam.ru/publications/item/aktsii-afk-sistema-podskochili-na-7-na-soobshcheniyakh-o-pokupke-doli-ozona-strukturami-sbera-20260528-1910/&#xA;https://news.google.com/rss/articles/CBMi4AFBVV95cUxOX2xxVFB2bjdKSHBsQ0FiTVMxeEVGeGRJcHE3SkdCSFdlYURBdG14VGFvM0lYc3d4ejByT25Zb1dGSGI4N25PRDJfbFotUVZ1X3pLZWZPb0QzTll2RklrX1dVTy1WcGYyd3czY1hub0dPOExtTE1BWi13Q0pNTWt0ZGRKQjZkU3IwVUZxbExoRXN2R0duRnZaRnFIdkl0OFY3ZEEyZEZ3SUtiZUFpV3BrRFBLV0N3T0Zuc1FqTWJtZ25qMGFiZ1hUdDZHVmx4N3pxbU9UQ3FSUXM1OGpGTHlTNw?oc=5" TargetMode="External"/><Relationship Id="rId131" Type="http://schemas.openxmlformats.org/officeDocument/2006/relationships/hyperlink" Target="https://news.google.com/rss/articles/CBMiUkFVX3lxTE9GMUxsS2ZKR2JaU2ZhY1hRSmoteVVNM1V6U2pJQnFGblRETXk1b0pLLXl3VXNvREgwdVg4dmNyc3VBVWxFZ1ZjUmxILXlrWU80VVHSAUtBVV95cUxPM21YSmF3aGRJQThYblp1MEEyNGNLSnR0SzlnTG1ITWtJWXY5bU1Jdm9kWU5nRjRYOUoxRlFscTB5X2NHVUlWYmtDX0k?oc=5" TargetMode="External"/><Relationship Id="rId132" Type="http://schemas.openxmlformats.org/officeDocument/2006/relationships/hyperlink" Target="https://news.google.com/rss/articles/CBMiUkFVX3lxTE9GMUxsS2ZKR2JaU2ZhY1hRSmoteVVNM1V6U2pJQnFGblRETXk1b0pLLXl3VXNvREgwdVg4dmNyc3VBVWxFZ1ZjUmxILXlrWU80VVHSAUtBVV95cUxPM21YSmF3aGRJQThYblp1MEEyNGNLSnR0SzlnTG1ITWtJWXY5bU1Jdm9kWU5nRjRYOUoxRlFscTB5X2NHVUlWYmtDX0k?oc=5" TargetMode="External"/><Relationship Id="rId133" Type="http://schemas.openxmlformats.org/officeDocument/2006/relationships/hyperlink" Target="https://news.google.com/rss/articles/CBMihgFBVV95cUxOVVc5b2xRd2dWREJQMEVGcEVKSlhNdFFmTjNGYWVnRkRNbHlmZ29zRGdzUjlrS2VQQjJxM0RhUTh4bnhIWnhNb3ZnQ2VhYmJqdEI1Q0dpVHZOWlNCLXNUanVlYTdhNmQ2TkpGZ1hFVG0xclRWNWZvZUhmeXdua1BtUDNpMm9LZw?oc=5" TargetMode="External"/><Relationship Id="rId134" Type="http://schemas.openxmlformats.org/officeDocument/2006/relationships/hyperlink" Target="https://news.google.com/rss/articles/CBMihgFBVV95cUxOVVc5b2xRd2dWREJQMEVGcEVKSlhNdFFmTjNGYWVnRkRNbHlmZ29zRGdzUjlrS2VQQjJxM0RhUTh4bnhIWnhNb3ZnQ2VhYmJqdEI1Q0dpVHZOWlNCLXNUanVlYTdhNmQ2TkpGZ1hFVG0xclRWNWZvZUhmeXdua1BtUDNpMm9LZw?oc=5" TargetMode="External"/><Relationship Id="rId135" Type="http://schemas.openxmlformats.org/officeDocument/2006/relationships/hyperlink" Target="https://news.google.com/rss/articles/CBMihgFBVV95cUxPa1Utd0tlY3RsT1JNSUZEcGdEdG84bFBJYlc0eDVEand3UnppVTduOUZPMUo2UHJ6SmxSSGgwekt6cDFyS3ByZDRxR1RrQjNJWk5VUlB4U2UyM0pSa3FiNnRscllQT19fZ2pEb0xQTU4xdXNXTi1PbWxNTF9LRTg2RTh3VHoyZw?oc=5" TargetMode="External"/><Relationship Id="rId136" Type="http://schemas.openxmlformats.org/officeDocument/2006/relationships/hyperlink" Target="https://news.google.com/rss/articles/CBMihgFBVV95cUxPa1Utd0tlY3RsT1JNSUZEcGdEdG84bFBJYlc0eDVEand3UnppVTduOUZPMUo2UHJ6SmxSSGgwekt6cDFyS3ByZDRxR1RrQjNJWk5VUlB4U2UyM0pSa3FiNnRscllQT19fZ2pEb0xQTU4xdXNXTi1PbWxNTF9LRTg2RTh3VHoyZw?oc=5" TargetMode="External"/><Relationship Id="rId137" Type="http://schemas.openxmlformats.org/officeDocument/2006/relationships/hyperlink" Target="https://ir.yandex.ru/press-releases?year=2026&amp;id=02-06-2026-04" TargetMode="External"/><Relationship Id="rId138" Type="http://schemas.openxmlformats.org/officeDocument/2006/relationships/hyperlink" Target="https://ir.yandex.ru/press-releases?year=2026&amp;id=02-06-2026-04" TargetMode="External"/><Relationship Id="rId139" Type="http://schemas.openxmlformats.org/officeDocument/2006/relationships/hyperlink" Target="https://bcs-express.ru/novosti-i-analitika/t-tekhnologii-zakryli-sdelku-po-pokupke-avto-ru-u-iandeksa" TargetMode="External"/><Relationship Id="rId140" Type="http://schemas.openxmlformats.org/officeDocument/2006/relationships/hyperlink" Target="https://bcs-express.ru/novosti-i-analitika/t-tekhnologii-zakryli-sdelku-po-pokupke-avto-ru-u-iandeksa&#xA;https://news.google.com/rss/articles/CBMiowFBVV95cUxNQ0ZvSEhWU1BqUzkyWi1YOWNOR0lab1kxRldxMFV5YllQQWp4Y0xFcjNLTXpHMUFJcnhicWI2RGNuUWRpUndBS0ZlQ2U0c05yWDlTeWZnWG05QjhZR0VWVW5IV19aSkdwa0d1UWpMWC1tLWdicjNtUVk4M2QtbFhsQkFxejdjZ2lLNDYxWTlwUWwyMzhqZ20zelY5SkZpZjBjYzZv?oc=5" TargetMode="External"/><Relationship Id="rId141" Type="http://schemas.openxmlformats.org/officeDocument/2006/relationships/hyperlink" Target="https://www.finam.ru/publications/item/yandeks-prodal-avtoru-t-tekhnologiyam-20260602-1802/" TargetMode="External"/><Relationship Id="rId142" Type="http://schemas.openxmlformats.org/officeDocument/2006/relationships/hyperlink" Target="https://www.finam.ru/publications/item/yandeks-prodal-avtoru-t-tekhnologiyam-20260602-1802/&#xA;https://news.google.com/rss/articles/CBMilgFBVV95cUxQWFk5YjhpaHc0S3BiTEpUVzFndHdkTDVmY0EtRDhFQ0pYcjBvWUF3V3FZUFhaUjhEQ1FXT0FDdWU1dGdtVmJ1Z1l5bmhGcVBwdjhsWTZVNG10dWhmTlNGbGZqV2cwRUoyaEdZS3c0dEx1MV8ySGpfX2ljQnhfemFELThnSDc3T09JZ1lOZW45Yk93YmYyb3c?oc=5" TargetMode="External"/><Relationship Id="rId143" Type="http://schemas.openxmlformats.org/officeDocument/2006/relationships/hyperlink" Target="https://www.finam.ru/publications/item/yandeks-stal-osnovnym-pretendentom-na-pokupku-ostrovka-20260528-0928/" TargetMode="External"/><Relationship Id="rId144" Type="http://schemas.openxmlformats.org/officeDocument/2006/relationships/hyperlink" Target="https://www.finam.ru/publications/item/yandeks-stal-osnovnym-pretendentom-na-pokupku-ostrovka-20260528-0928/&#xA;https://news.google.com/rss/articles/CBMirAFBVV95cUxNSlk2WU9xYjNqM1AwRkNGOV9BYnhzQVg3VlRaaWJlT01VVDNrYklwUjY4SFZfdjZQLVlHZEpxYm0tVmpDUFN5a190bUU0MnFnb2VFMFMyQ2E1OWlyQ2djRWwtdWMyN3F5NXRYamZkUmFhMkk4UlFZQXFDOVB2RE9uNjZkdFFMbGZFT0dWOTN4MjZDbXZmMzNSOUNlOXVaZjJGcmM4QnZiM0I3QUhM?oc=5" TargetMode="External"/><Relationship Id="rId145" Type="http://schemas.openxmlformats.org/officeDocument/2006/relationships/hyperlink" Target="https://www.finam.ru/publications/item/posledniy-den-pokupki-aktsiy-ozona-pod-dividendy-25-maya-20260525-0652/" TargetMode="External"/><Relationship Id="rId146" Type="http://schemas.openxmlformats.org/officeDocument/2006/relationships/hyperlink" Target="https://www.finam.ru/publications/item/posledniy-den-pokupki-aktsiy-ozona-pod-dividendy-25-maya-20260525-0652/&#xA;https://news.google.com/rss/articles/CBMirwFBVV95cUxNckFiOGoyLVd2REpiUVVDaWp6NzF5Y1laekdUZnhnWUJYS3ZteHpxSGd6OElyTUwyZXVFWjgwWmRFclVXbV9FR2xKS2dHZDdoZEZsUEMycy01ZUxUMU03eTBybC1NQlZ5dDVtZHp4NTdVdEhzak9jVlgwZ2ZXTVA0SnIyM0RUTG5saEdQWG5FTDIwUmE1MHllN2xOek1HeXlRS2RtSDhCeFZfaElpRy1F?oc=5" TargetMode="External"/><Relationship Id="rId147" Type="http://schemas.openxmlformats.org/officeDocument/2006/relationships/hyperlink" Target="https://bcs-express.ru/novosti-i-analitika/aktsionery-ozon-utverdili-final-nye-dividendy-za-2025" TargetMode="External"/><Relationship Id="rId148" Type="http://schemas.openxmlformats.org/officeDocument/2006/relationships/hyperlink" Target="https://bcs-express.ru/novosti-i-analitika/aktsionery-ozon-utverdili-final-nye-dividendy-za-2025&#xA;https://news.google.com/rss/articles/CBMinAFBVV95cUxPUDczZmMzcGh0VmlVbnducmFDWkNiamxLVDdCT29PQXVGSkRDeFN4MGFNbzJFNHo4UlZ6Qjk1bUFXaXJVUDdENXZ4a1ctNWRzcVRiZlE4R19uTXhkNndrc09VaUpfa3R4NkdWM1A2NEdETXdwOUpYeDVLLWF1VHNvNURIUXg0NlRaRVpsTDliNFNjbGlicG9VbWVMaEQ?oc=5" TargetMode="External"/><Relationship Id="rId149" Type="http://schemas.openxmlformats.org/officeDocument/2006/relationships/hyperlink" Target="https://www.finam.ru/publications/item/otchetnosti-zaymera-bsp-i-sovkombanka-dividendnyy-vopros-u-ozona-i-md-medikal-osnovnye-sobytiya-15-maya-20260515-0900/" TargetMode="External"/><Relationship Id="rId150" Type="http://schemas.openxmlformats.org/officeDocument/2006/relationships/hyperlink" Target="https://www.finam.ru/publications/item/otchetnosti-zaymera-bsp-i-sovkombanka-dividendnyy-vopros-u-ozona-i-md-medikal-osnovnye-sobytiya-15-maya-20260515-0900/&#xA;https://news.google.com/rss/articles/CBMi7gFBVV95cUxOVkF3VWdna082MXVoUDVVTnpvUjV1Y2tnMGRwRkYwRlhnUE1RZldyUGVCcklzSWdXQmhMYkRaNi1nZGp5LVdzU3RRWV9kTnpJbFFxU2lCSGR1clk5R3NIaDZHeDRxTUF6VkZHV2F4dTAtS0Jjd1FEM281dU5YZ3lMRWROOVNiT29mVG1EcXRCcmdmaDZ5OFpzTmRHRWpidFMzdjktZHhRMGpxZ0pUZmw0MDRGNjZEMWFPVC1EcFFFa1NFNzJlNk1oUnI1cGFpc2ZDYWk0LUxuaVN1LUdvU25hTXpINjhQZGNHdzJIdElR?oc=5" TargetMode="External"/><Relationship Id="rId151" Type="http://schemas.openxmlformats.org/officeDocument/2006/relationships/hyperlink" Target="https://news.google.com/rss/articles/CBMiUkFVX3lxTE1SRWp6YUhObThSanNWWnBCQjlnX0xPVW1fQzJPSlJxM3JxcVhVTWlJaWZVcW5VNXFTQjU0RkJ6cC0wem9DTUNLZWlXeXZmMDhyUlHSAUtBVV95cUxPaFhNLWM1eThHQVJpOEg0TEpxT1BjRk5IdTEyYmFOdzNCOEluQmtLU3pmcXViOW5PM1gwR3ZsT2RhZEVCLTkwQ1RMZk0?oc=5" TargetMode="External"/><Relationship Id="rId152" Type="http://schemas.openxmlformats.org/officeDocument/2006/relationships/hyperlink" Target="https://news.google.com/rss/articles/CBMiUkFVX3lxTE1SRWp6YUhObThSanNWWnBCQjlnX0xPVW1fQzJPSlJxM3JxcVhVTWlJaWZVcW5VNXFTQjU0RkJ6cC0wem9DTUNLZWlXeXZmMDhyUlHSAUtBVV95cUxPaFhNLWM1eThHQVJpOEg0TEpxT1BjRk5IdTEyYmFOdzNCOEluQmtLU3pmcXViOW5PM1gwR3ZsT2RhZEVCLTkwQ1RMZk0?oc=5" TargetMode="External"/><Relationship Id="rId153" Type="http://schemas.openxmlformats.org/officeDocument/2006/relationships/hyperlink" Target="https://news.google.com/rss/articles/CBMiUkFVX3lxTE5rRHd6NXMzNkpDcVZDdVR4NXhZN185LXRRSDMzVzZiUGd4cmNqV1BydzRLTnh4cHJnU19qNnQ1X05XMDl6VnBjVlBXY0NUOUZ3VlHSAUtBVV95cUxQOHVvOS00aURkZ3lDUGZ6Sk9kYTVFSDJhcGNJQk1PVVR2ZFJwWnZlRGZ4eW85TS15QUs4bmkxOWUzQW5PbGpDeUVnOVk?oc=5" TargetMode="External"/><Relationship Id="rId154" Type="http://schemas.openxmlformats.org/officeDocument/2006/relationships/hyperlink" Target="https://news.google.com/rss/articles/CBMiUkFVX3lxTE5rRHd6NXMzNkpDcVZDdVR4NXhZN185LXRRSDMzVzZiUGd4cmNqV1BydzRLTnh4cHJnU19qNnQ1X05XMDl6VnBjVlBXY0NUOUZ3VlHSAUtBVV95cUxQOHVvOS00aURkZ3lDUGZ6Sk9kYTVFSDJhcGNJQk1PVVR2ZFJwWnZlRGZ4eW85TS15QUs4bmkxOWUzQW5PbGpDeUVnOVk?oc=5" TargetMode="External"/><Relationship Id="rId155" Type="http://schemas.openxmlformats.org/officeDocument/2006/relationships/hyperlink" Target="https://bcs-express.ru/novosti-i-analitika/iandeks-odobril-vykup-aktsii-na-50-mlrd-rublei" TargetMode="External"/><Relationship Id="rId156" Type="http://schemas.openxmlformats.org/officeDocument/2006/relationships/hyperlink" Target="https://bcs-express.ru/novosti-i-analitika/iandeks-odobril-vykup-aktsii-na-50-mlrd-rublei&#xA;https://news.google.com/rss/articles/CBMikwFBVV95cUxPbkRNMVpoTFN4cXlrOWRya3A4SW1Dd09IUHIzMUw3emMzY1hZckpPRWtMclI2aTllZTRQTlRwUmNGNVp4X1hPV041elJSWGhtVS1kM0VGMFpWdmZIcDRmTS04MjBSb3FoVG5xZWdhY0REZkxLMTMxTE1PeF92VW5SRkxDYVNrVGVuNVFTSlRfaFFFeWc?oc=5" TargetMode="External"/><Relationship Id="rId157" Type="http://schemas.openxmlformats.org/officeDocument/2006/relationships/hyperlink" Target="https://sbercib.ru/publication/rezultati-ozon-dom-rf-dividendi-yandeksa-i-tatnefti-i-drugie-novosti-nedeli" TargetMode="External"/><Relationship Id="rId158" Type="http://schemas.openxmlformats.org/officeDocument/2006/relationships/hyperlink" Target="https://sbercib.ru/publication/rezultati-ozon-dom-rf-dividendi-yandeksa-i-tatnefti-i-drugie-novosti-nedeli&#xA;https://news.google.com/rss/articles/CBMiqgFBVV95cUxQZEltanhoOVlVS2FSRnNObHRXRkJnUEpjZ1VRXzB4czdNUFJOVzVxNU1XcGdxX1gxNmhYcHVrWFh1bXZMRTA5UUZHczhJNlJLYl8wVzdtZmdWYjRQZVB4TDVRNHNURVI1UkhkeVFpNXN4WnhUekFURDhiSlFyZDAtUFMtNW1VR3JEZFUwMEktbmFIYk52Uy02ay1IQTdYZHE2Zm10Vkw1LVBLdw?oc=5" TargetMode="External"/><Relationship Id="rId159" Type="http://schemas.openxmlformats.org/officeDocument/2006/relationships/hyperlink" Target="https://www.vedomosti.ru/finance/news/2026/04/27/1193355-putin-isklyuchil" TargetMode="External"/><Relationship Id="rId160" Type="http://schemas.openxmlformats.org/officeDocument/2006/relationships/hyperlink" Target="https://www.vedomosti.ru/finance/news/2026/04/27/1193355-putin-isklyuchil&#xA;https://news.google.com/rss/articles/CBMifkFVX3lxTE5wcVN1bk9QeWE3N3kxMkdGdndraERVOGhyUndZcTkwSVVWdlhXUkVldXUtRWR5QTlCR3owOHN1QzFPZVVDR0JWMGkweTM2ekRobml3MzJqT3ZyTGFCSTZtTk0yZ3FxOG52ZjA3c203bEJ4UGVIN18xQUJxenBLQQ?oc=5" TargetMode="External"/><Relationship Id="rId161" Type="http://schemas.openxmlformats.org/officeDocument/2006/relationships/hyperlink" Target="https://bcs-express.ru/novosti-i-analitika/ozon-bank-iskliuchen-iz-perechnia-bankov-s-aktsiiami-kotorykh-zapreshcheny-sdelki" TargetMode="External"/><Relationship Id="rId162" Type="http://schemas.openxmlformats.org/officeDocument/2006/relationships/hyperlink" Target="https://bcs-express.ru/novosti-i-analitika/ozon-bank-iskliuchen-iz-perechnia-bankov-s-aktsiiami-kotorykh-zapreshcheny-sdelki&#xA;https://news.google.com/rss/articles/CBMiwgFBVV95cUxORlpPNHotYkNzQVpwd2ptLTRIVmJmelQwVHY5Vjc2Rmd1YzFnMW52R3h3aXlFYkpzc0NfY0NPdWk3RnhUSXhudGhZUWxXeE90WlNpVmRkYlhxSlNHLXFkZ1pLMllFY3VBQUx6bDJUcG13VEVINVlKOTFMUkRkUUx0bllTQ2NQdzBaMENTM3FrN2dMNVFjQ2NKRTVUNG92QWlpcEdtWVFuMWx1dnJRTTFWS1paVllydW9oeUU0NjNUVjhCUQ?oc=5" TargetMode="External"/><Relationship Id="rId163" Type="http://schemas.openxmlformats.org/officeDocument/2006/relationships/hyperlink" Target="https://glavportal.com/news/putin-razreshil-sdelki-s-akciyami-ozon-banka" TargetMode="External"/><Relationship Id="rId164" Type="http://schemas.openxmlformats.org/officeDocument/2006/relationships/hyperlink" Target="https://glavportal.com/news/putin-razreshil-sdelki-s-akciyami-ozon-banka&#xA;https://news.google.com/rss/articles/CBMifEFVX3lxTE5vODZHWnJJX1RoLWU3X2RfSGpCZFZrN2xZeGtyOVVzSENxQzlaQTEwV3pCNXBuOG9JRnVfTkdxOGl5N3RJTGhDVVh0YXdBbTY5dnlZYWRjVkJ5MTFROHhTQUVvdjEwS3BpYUtmSG12YmVocnBnVmVpVmN0ZzQ?oc=5" TargetMode="External"/><Relationship Id="rId165" Type="http://schemas.openxmlformats.org/officeDocument/2006/relationships/hyperlink" Target="https://investfuture.ru/articles/putin-snyal-zapret-na-sdelki-s-aktsiyami-ozon-banka-v-rossii-1178931397" TargetMode="External"/><Relationship Id="rId166" Type="http://schemas.openxmlformats.org/officeDocument/2006/relationships/hyperlink" Target="https://investfuture.ru/articles/putin-snyal-zapret-na-sdelki-s-aktsiyami-ozon-banka-v-rossii-1178931397&#xA;https://news.google.com/rss/articles/CBMipwFBVV95cUxQcU81OEdseHRmbS1zNlgwaDB4VWRLbVp1eGRLdTZ0R0RZOXpvRU1uRmE0MHRVVFlrNHFobW1mQlJleE1ZOFRaWjB3WWoyVldwR1dMRlM1Z2l5MUZiQnNsX0JJdXZRLUFrV2cxVS04ZmtfNUNtaVR3M21XbGw5N0I5ZWxqOHktNnJyZ1ZuMGc5UTZMc2cxOU5OU0VQUkJVVjFTenhmLVdlQQ?oc=5" TargetMode="External"/><Relationship Id="rId167" Type="http://schemas.openxmlformats.org/officeDocument/2006/relationships/hyperlink" Target="https://news.google.com/rss/articles/CBMiR0FVX3lxTE8wam05RkhGd2REbmcta2EzYmJUZDZ0YzFCcVVTT2t0YndoN0x0TVVhTG9tSWJyN1RCaUFnU3NVMWh4WVJPUWRV?oc=5" TargetMode="External"/><Relationship Id="rId168" Type="http://schemas.openxmlformats.org/officeDocument/2006/relationships/hyperlink" Target="https://news.google.com/rss/articles/CBMiR0FVX3lxTE8wam05RkhGd2REbmcta2EzYmJUZDZ0YzFCcVVTT2t0YndoN0x0TVVhTG9tSWJyN1RCaUFnU3NVMWh4WVJPUWRV?oc=5" TargetMode="External"/><Relationship Id="rId169" Type="http://schemas.openxmlformats.org/officeDocument/2006/relationships/hyperlink" Target="https://realnoevremya.ru/news/394463-s-ozon-banka-snyali-ogranicheniya-na-sdelki-s-akciyami-rasporyazhenie-putina" TargetMode="External"/><Relationship Id="rId170" Type="http://schemas.openxmlformats.org/officeDocument/2006/relationships/hyperlink" Target="https://realnoevremya.ru/news/394463-s-ozon-banka-snyali-ogranicheniya-na-sdelki-s-akciyami-rasporyazhenie-putina&#xA;https://news.google.com/rss/articles/CBMiswFBVV95cUxPdUFBdHZlVG53aElMZ1BtWGh4VzZmSEg1OFU4UzJqTnlOanFmYW5RLUV3OXR3cFFrdmhJalBhZWFPMmFPTjlObnRyY2c4T3dYZTc3MjBfWHFrUU00RVBxMnFreVNkQ19vNVBGbnlDSktCZXJGTmFWUmJtWllmX2xraTRsM093aHdoWGo2QW0zNGg5VkxyRFk5YnU1QWtYOFMxMzhLNTBQbWxLQjNkbXl6cWY3RQ?oc=5" TargetMode="External"/><Relationship Id="rId171" Type="http://schemas.openxmlformats.org/officeDocument/2006/relationships/hyperlink" Target="https://bosfera.ru/press-release/ozon-bank-isklyuchen-iz-spiska-s-zapretom-na-sdelki-s-akciyami-i-dolyami" TargetMode="External"/><Relationship Id="rId172" Type="http://schemas.openxmlformats.org/officeDocument/2006/relationships/hyperlink" Target="https://bosfera.ru/press-release/ozon-bank-isklyuchen-iz-spiska-s-zapretom-na-sdelki-s-akciyami-i-dolyami&#xA;https://news.google.com/rss/articles/CBMiqAFBVV95cUxNQXVhQ2RuZ0lNVWJmM3gwUmY4bzllcHBVWUZWQXlGT0s1MndodXlWMGlIRXNGbFFCQ3VPMmZPeG9ZMnphS19pcDAzdzMybEkzNEdOaEE0SGY2d3F4dzBmMWw0QUtmaUtpS2tqejhtSER5MlByWC03VDdrSTFwM3U4ZFFiYjVWZTE1VTdfZlVfS3YyV0VnYmZpaURwYVRiZmdTMnhjRDVsTTQ?oc=5" TargetMode="External"/><Relationship Id="rId173" Type="http://schemas.openxmlformats.org/officeDocument/2006/relationships/hyperlink" Target="https://alfabank.ru/alfa-investor/t/obligatsii-ozona-zarabotay-na-marketpleyse/" TargetMode="External"/><Relationship Id="rId174" Type="http://schemas.openxmlformats.org/officeDocument/2006/relationships/hyperlink" Target="https://alfabank.ru/alfa-investor/t/obligatsii-ozona-zarabotay-na-marketpleyse/&#xA;https://news.google.com/rss/articles/CBMihgFBVV95cUxOR21Vd1RCOGpSRktSR2g3Mm11emdNTHVpLTlESXFfUVc5SFZFYkZYTWcwZ1kxc2ZUU1lPVWo3UmRjQXl4SFREaElpVTZvZktVMW43QXhNU2ZHal9hSHQ0bkttRV8xa1BVbHRHSENoSE5GblYwZElISUxNbG1fSG1uWUJ0QVgtZw?oc=5" TargetMode="External"/><Relationship Id="rId175" Type="http://schemas.openxmlformats.org/officeDocument/2006/relationships/hyperlink" Target="https://expert.ru" TargetMode="External"/><Relationship Id="rId176" Type="http://schemas.openxmlformats.org/officeDocument/2006/relationships/hyperlink" Target="https://expert.ru/news/aktsionery-yandeksa-utverdili-dividendy-za-2025-god-v-razmere-110-rubley" TargetMode="External"/><Relationship Id="rId177" Type="http://schemas.openxmlformats.org/officeDocument/2006/relationships/hyperlink" Target="https://expert.ru/news/aktsionery-yandeksa-utverdili-dividendy-za-2025-god-v-razmere-110-rubley&#xA;https://news.google.com/rss/articles/CBMimwFBVV95cUxPWGhKZDBJT19jSHlMQlI2Z3RWU2NzOUlEekZlamVwMnNmV0JXZ2dNeXZWaWF1eEEzRlVzTE5pd1JNZUNlRkV3OVB3QUZzU1B4Tm1HYjNkcV9oWE1RQlY0dGIyNkUwdm05RTlfM1ZLQzJiNldVLWNSRGQ5aUNrRUdmc1dBMEVORThSVnNVTEl3d3JMLUFBak5OZjNhMA?oc=5" TargetMode="External"/><Relationship Id="rId178" Type="http://schemas.openxmlformats.org/officeDocument/2006/relationships/hyperlink" Target="https://news.google.com/rss/articles/CBMimwFBVV95cUxPWGhKZDBJT19jSHlMQlI2Z3RWU2NzOUlEekZlamVwMnNmV0JXZ2dNeXZWaWF1eEEzRlVzTE5pd1JNZUNlRkV3OVB3QUZzU1B4Tm1HYjNkcV9oWE1RQlY0dGIyNkUwdm05RTlfM1ZLQzJiNldVLWNSRGQ5aUNrRUdmc1dBMEVORThSVnNVTEl3d3JMLUFBak5OZjNhMA?oc=5" TargetMode="External"/><Relationship Id="rId179" Type="http://schemas.openxmlformats.org/officeDocument/2006/relationships/hyperlink" Target="https://news.google.com/rss/articles/CBMimwFBVV95cUxPWGhKZDBJT19jSHlMQlI2Z3RWU2NzOUlEekZlamVwMnNmV0JXZ2dNeXZWaWF1eEEzRlVzTE5pd1JNZUNlRkV3OVB3QUZzU1B4Tm1HYjNkcV9oWE1RQlY0dGIyNkUwdm05RTlfM1ZLQzJiNldVLWNSRGQ5aUNrRUdmc1dBMEVORThSVnNVTEl3d3JMLUFBak5OZjNhMA?oc=5" TargetMode="External"/><Relationship Id="rId180" Type="http://schemas.openxmlformats.org/officeDocument/2006/relationships/hyperlink" Target="https://rb.ru/news/yandeks-odobril-dividendy-po-itogam-2025-go-vyplaty-sostavyat-110-za-akciyu-pochti-na-40-vyshe-chem-v-proshlom-godu/" TargetMode="External"/><Relationship Id="rId181" Type="http://schemas.openxmlformats.org/officeDocument/2006/relationships/hyperlink" Target="https://rb.ru/news/yandeks-odobril-dividendy-po-itogam-2025-go-vyplaty-sostavyat-110-za-akciyu-pochti-na-40-vyshe-chem-v-proshlom-godu/&#xA;https://news.google.com/rss/articles/CBMi0AFBVV95cUxPM0l6REZfX1FWR3FiY1RBQlJUbzdaNDVTZTB5UklOalA3Vk1qYzRsQWhkZDNScTZWOHVaY0hNaTNRdDNHWU1jR1hhUV9GT1dES3daWVFhTFJ3M3lHTmJSSnZzN19ETGtJbExzNk0ybFdHdWs2ZkprOUd5X25HYWFnb29qZTRMMDBidkhaRG01WTNSMGMxUHJQS1k2Y19Za2NLQlExZWFyUk94aUZGcTVKZ2toSWxBVkg2WFFic3hxcHFQNEphVmlFZkpoMXJLQVB1?oc=5" TargetMode="External"/><Relationship Id="rId182" Type="http://schemas.openxmlformats.org/officeDocument/2006/relationships/hyperlink" Target="https://rb.ru/news/vk-prodal-25-akcij-tochka-banka-sdelku-ocenili-v-212-mlrd-vdvoe-vyshe-iznachalnoj-stoimosti-bumag/" TargetMode="External"/><Relationship Id="rId183" Type="http://schemas.openxmlformats.org/officeDocument/2006/relationships/hyperlink" Target="https://rb.ru/news/vk-prodal-25-akcij-tochka-banka-sdelku-ocenili-v-212-mlrd-vdvoe-vyshe-iznachalnoj-stoimosti-bumag/&#xA;https://news.google.com/rss/articles/CBMiuAFBVV95cUxNQlJkLWo5eXZTSkZxSWU5NjF5TVJ0N1lYdXJqSzlFUGFMdk5jVEZMak1HeDE2SDZNcDduc3hENHkzaW8wWTVfWjN1QmpodGdYdDRLVXpua0pBUUs0MzVBX3lnOHlkVkJhVGdLNDlESDNRYmNmaDFaamJZVHdJRGhpX25lSkNmcmZ2dWZhZnhja2NwcXVnelJZVjg0Z1Flakd2VGl0MGRwUVdTTGtYYlNFcUYxSXdYaGY5?oc=5" TargetMode="External"/><Relationship Id="rId184" Type="http://schemas.openxmlformats.org/officeDocument/2006/relationships/hyperlink" Target="https://www.vedomosti.ru/finance/news/2026/04/16/1190812-vk-prodala-dolyu" TargetMode="External"/><Relationship Id="rId185" Type="http://schemas.openxmlformats.org/officeDocument/2006/relationships/hyperlink" Target="https://www.vedomosti.ru/finance/news/2026/04/16/1190812-vk-prodala-dolyu&#xA;https://news.google.com/rss/articles/CBMifkFVX3lxTE1vSUlEOTl2cU5jckxzemNzN2oyNVZaX203N1VWRkpuZXNwYV9sdUNGMTZPTHhiNm5LWFBmdFM0QkFTRjFPczd4VEFlTEZpRzhiakF2ZGh5UU5kamRvbnFRTDE5dG8zOF9HRkk5MDUwVzBWbU9qWEN0MDhIdTJNUQ?oc=5" TargetMode="External"/><Relationship Id="rId186" Type="http://schemas.openxmlformats.org/officeDocument/2006/relationships/hyperlink" Target="https://www.cnews.ru/news/top/2026-04-16_vk_prodal_svoyu_dolyu_v_virtualnom" TargetMode="External"/><Relationship Id="rId187" Type="http://schemas.openxmlformats.org/officeDocument/2006/relationships/hyperlink" Target="https://www.cnews.ru/news/top/2026-04-16_vk_prodal_svoyu_dolyu_v_virtualnom&#xA;https://news.google.com/rss/articles/CBMigAFBVV95cUxOeU1NOHJNay1uUm9TdlpGcWh4YkNXN3J0clFCT2JrM0t5T3hwTmtTRlJXUWpyeVBYbnltZlB0dnpqLWxhTUxQNW9wQU1LeG5sTjVzT1NNQlFlY0Jpb1REMGhyWG1wSUM0STZXbFFaNndzQ1A1MlVvMFN3RmlmOW4tXw?oc=5" TargetMode="External"/><Relationship Id="rId188" Type="http://schemas.openxmlformats.org/officeDocument/2006/relationships/hyperlink" Target="https://www.finam.ru/publications/item/dvoynoe-razmeshchenie-obligatsiy-vk-chego-zhdat-chastnym-investoram-20260410-1829/" TargetMode="External"/><Relationship Id="rId189" Type="http://schemas.openxmlformats.org/officeDocument/2006/relationships/hyperlink" Target="https://www.finam.ru/publications/item/dvoynoe-razmeshchenie-obligatsiy-vk-chego-zhdat-chastnym-investoram-20260410-1829/&#xA;https://news.google.com/rss/articles/CBMivgFBVV95cUxNT2pxcWtLNl9tQmhsRlFJVXF0QWNfNGxNLXdRVU9CNXNFRnZXTmtQUVAxVVZWNHBrZ1dRd000Z3FZT0FxTVpISnZSTXZCdUs1Q1A3cnVPdk5UY0tGS3ZvdjNIcE9EUDBGY2NwLWpjWDg1czZZbzZtVDRJM3V3UW1ZOWRZWEktTUk2aU1xajF5YmwwbVVwZW9MUUh0SDR0QTRlRkMxLUxtcmNLNGlPbzVpZi1ycmdvLTdNYzFURnF3?oc=5" TargetMode="External"/><Relationship Id="rId190" Type="http://schemas.openxmlformats.org/officeDocument/2006/relationships/hyperlink" Target="https://alfabank.ru/alfa-investor/posts/t/1238104e-fa34-f111-91c8-0050569ebac3/" TargetMode="External"/><Relationship Id="rId191" Type="http://schemas.openxmlformats.org/officeDocument/2006/relationships/hyperlink" Target="https://alfabank.ru/alfa-investor/posts/t/1238104e-fa34-f111-91c8-0050569ebac3/&#xA;https://news.google.com/rss/articles/CBMihgFBVV95cUxNbVZjUURpZDgxcTE2VG9jRktkMVZHRmpqSG9jclBJZU45SVNzS3VLTUFyYkhnUWdpQl9pb1Jvd1p5Ni12Z1pFQWlKeDQtUDUxY0xCSVA0dno3ZjJzWnZkS3RLVWh3UjNGWVJXd29rbjFBUjdVUnZwa1RGdk9hQTIxMHBCRzFPdw?oc=5" TargetMode="External"/><Relationship Id="rId192" Type="http://schemas.openxmlformats.org/officeDocument/2006/relationships/hyperlink" Target="https://expert.ru" TargetMode="External"/><Relationship Id="rId193" Type="http://schemas.openxmlformats.org/officeDocument/2006/relationships/hyperlink" Target="https://expert.ru/news/ozon-anonsiroval-razmeshchenie-obligatsiy-na-15-mlrd-rubley" TargetMode="External"/><Relationship Id="rId194" Type="http://schemas.openxmlformats.org/officeDocument/2006/relationships/hyperlink" Target="https://expert.ru/news/ozon-anonsiroval-razmeshchenie-obligatsiy-na-15-mlrd-rubley&#xA;https://news.google.com/rss/articles/CBMiigFBVV95cUxNVmVRdkQ4RElHdURKbmVDQU9NbVRmZTd0Z3NiM3JzMjFhZzNzQzVPMnhzNHFER2VsYVAyWEpwVlg4c24zZUozY1ZNUFQxNDMxakR1Q1J0RFhhbkRxbUZYTmgtc3N3UzhsckljT1lpZTFvaXJKeGlTblNyNlNWb2JhOWFSVXZJWjZ0Rmc?oc=5" TargetMode="External"/><Relationship Id="rId195" Type="http://schemas.openxmlformats.org/officeDocument/2006/relationships/hyperlink" Target="https://bcs-express.ru/novosti-i-analitika/ozon-planiruet-debiutnoe-razmeshchenie-birzhevykh-obligatsii" TargetMode="External"/><Relationship Id="rId196" Type="http://schemas.openxmlformats.org/officeDocument/2006/relationships/hyperlink" Target="https://bcs-express.ru/novosti-i-analitika/ozon-planiruet-debiutnoe-razmeshchenie-birzhevykh-obligatsii&#xA;https://news.google.com/rss/articles/CBMipgFBVV95cUxNTmtrN3N0YVN0c0NuVnBscUJvbzdVbWZ5OXczRTkySkx1T1hKdWJvZlFWNEFqbkxhRmpXVEVQZUdIcjdOZkNFRnJhX1huRGRmelhla1RRTURfejMzd2FIMU9ZcmQ4REtOWWEyZ3JhLUgwSmI2UDhJM2s4TkNRekY0T3ZtcEJNbUYzNTQzOXRITGxsN1A0N1duQ3FKeE5fTXIxMUVJTlh3?oc=5" TargetMode="External"/><Relationship Id="rId197" Type="http://schemas.openxmlformats.org/officeDocument/2006/relationships/hyperlink" Target="https://vk.company/investors/info/12271/" TargetMode="External"/><Relationship Id="rId198" Type="http://schemas.openxmlformats.org/officeDocument/2006/relationships/hyperlink" Target="https://vk.company/investors/info/12271/" TargetMode="External"/><Relationship Id="rId199" Type="http://schemas.openxmlformats.org/officeDocument/2006/relationships/hyperlink" Target="https://www.finam.ru/publications/item/vk-razmeshchaet-obligatsii-kak-eto-otrazitsya-na-investorakh-v-aktsii-20260330-1740/" TargetMode="External"/><Relationship Id="rId200" Type="http://schemas.openxmlformats.org/officeDocument/2006/relationships/hyperlink" Target="https://www.finam.ru/publications/item/vk-razmeshchaet-obligatsii-kak-eto-otrazitsya-na-investorakh-v-aktsii-20260330-1740/" TargetMode="External"/><Relationship Id="rId201" Type="http://schemas.openxmlformats.org/officeDocument/2006/relationships/hyperlink" Target="https://selectel.ru/about/newsroom/news/selectel-razmestil-novyj-vypusk-obligaczij-i-privlek-7-milliardov-rublej-na-razvitie-biznesa/" TargetMode="External"/><Relationship Id="rId202" Type="http://schemas.openxmlformats.org/officeDocument/2006/relationships/hyperlink" Target="https://selectel.ru/about/newsroom/news/selectel-razmestil-novyj-vypusk-obligaczij-i-privlek-7-milliardov-rublej-na-razvitie-biznesa/" TargetMode="External"/><Relationship Id="rId203" Type="http://schemas.openxmlformats.org/officeDocument/2006/relationships/hyperlink" Target="https://ir.yandex.ru/press-releases?year=2025&amp;id=01-13-03-2025" TargetMode="External"/><Relationship Id="rId204" Type="http://schemas.openxmlformats.org/officeDocument/2006/relationships/hyperlink" Target="https://ir.yandex.ru/press-releases?year=2025&amp;id=01-13-03-2025" TargetMode="External"/><Relationship Id="rId205" Type="http://schemas.openxmlformats.org/officeDocument/2006/relationships/hyperlink" Target="https://selectel.ru/about/newsroom/news/selectel-soobshchaet-o-priobretenii-oblachnogo-provajdera-servers-ru/" TargetMode="External"/><Relationship Id="rId206" Type="http://schemas.openxmlformats.org/officeDocument/2006/relationships/hyperlink" Target="https://selectel.ru/about/newsroom/news/selectel-soobshchaet-o-priobretenii-oblachnogo-provajdera-servers-ru/" TargetMode="External"/><Relationship Id="rId207" Type="http://schemas.openxmlformats.org/officeDocument/2006/relationships/hyperlink" Target="https://selectel.ru/about/newsroom/news/selectel-planiruet-razmeshhenie-obligaczij-obemom-3-milliarda-rublej-2/" TargetMode="External"/><Relationship Id="rId208" Type="http://schemas.openxmlformats.org/officeDocument/2006/relationships/hyperlink" Target="https://selectel.ru/about/newsroom/news/selectel-planiruet-razmeshhenie-obligaczij-obemom-3-milliarda-rublej-2/" TargetMode="External"/><Relationship Id="rId209" Type="http://schemas.openxmlformats.org/officeDocument/2006/relationships/hyperlink" Target="https://selectel.ru/about/newsroom/news/selectel-na-fone-povyshennogo-sprosa-na-obligaczii-chetvertogo-vypuska-uvelichil-obem-razmeshheniya-do-4-mlrd-rublej/" TargetMode="External"/><Relationship Id="rId210" Type="http://schemas.openxmlformats.org/officeDocument/2006/relationships/hyperlink" Target="https://selectel.ru/about/newsroom/news/selectel-na-fone-povyshennogo-sprosa-na-obligaczii-chetvertogo-vypuska-uvelichil-obem-razmeshheniya-do-4-mlrd-rublej/" TargetMode="External"/><Relationship Id="rId211" Type="http://schemas.openxmlformats.org/officeDocument/2006/relationships/hyperlink" Target="https://selectel.ru/about/newsroom/news/selectel-planiruet-razmeshhenie-obligaczij-obemom-3-milliarda-rublej/" TargetMode="External"/><Relationship Id="rId212" Type="http://schemas.openxmlformats.org/officeDocument/2006/relationships/hyperlink" Target="https://selectel.ru/about/newsroom/news/selectel-planiruet-razmeshhenie-obligaczij-obemom-3-milliarda-rublej/" TargetMode="External"/><Relationship Id="rId213" Type="http://schemas.openxmlformats.org/officeDocument/2006/relationships/hyperlink" Target="https://selectel.ru/about/newsroom/news/investicionnyj-fond-tier-5-priobrel-25-provajdera-it-infrastruktury-selectel/" TargetMode="External"/><Relationship Id="rId214" Type="http://schemas.openxmlformats.org/officeDocument/2006/relationships/hyperlink" Target="https://selectel.ru/about/newsroom/news/investicionnyj-fond-tier-5-priobrel-25-provajdera-it-infrastruktury-selectel/" TargetMode="External"/><Relationship Id="rId215" Type="http://schemas.openxmlformats.org/officeDocument/2006/relationships/hyperlink" Target="https://investor.cisco.com/news/news-details/2023/Cisco-to-Acquire-Splunk-to-Help-Make-Organizations-More-Secure-and-Resilient-in-an-AI-Powered-World/default.aspx" TargetMode="External"/><Relationship Id="rId216" Type="http://schemas.openxmlformats.org/officeDocument/2006/relationships/hyperlink" Target="https://investor.cisco.com/news/news-details/2023/Cisco-to-Acquire-Splunk-to-Help-Make-Organizations-More-Secure-and-Resilient-in-an-AI-Powered-World/default.aspx" TargetMode="External"/><Relationship Id="rId217" Type="http://schemas.openxmlformats.org/officeDocument/2006/relationships/hyperlink" Target="https://www.sec.gov/Archives/edgar/data/1353283/000135328323000011/splk-20230131.htm" TargetMode="External"/><Relationship Id="rId218" Type="http://schemas.openxmlformats.org/officeDocument/2006/relationships/hyperlink" Target="https://www.sec.gov/Archives/edgar/data/1353283/000135328323000011/splk-20230131.htm" TargetMode="External"/><Relationship Id="rId219" Type="http://schemas.openxmlformats.org/officeDocument/2006/relationships/hyperlink" Target="https://investors.broadcom.com/news-releases/news-release-details/broadcom-acquire-vmware-approximately-61-billion-cash-and-stock" TargetMode="External"/><Relationship Id="rId220" Type="http://schemas.openxmlformats.org/officeDocument/2006/relationships/hyperlink" Target="https://investors.broadcom.com/news-releases/news-release-details/broadcom-acquire-vmware-approximately-61-billion-cash-and-stock" TargetMode="External"/><Relationship Id="rId221" Type="http://schemas.openxmlformats.org/officeDocument/2006/relationships/hyperlink" Target="https://www.sec.gov/Archives/edgar/data/1124610/000112461022000009/vmw-20220128.htm" TargetMode="External"/><Relationship Id="rId222" Type="http://schemas.openxmlformats.org/officeDocument/2006/relationships/hyperlink" Target="https://www.sec.gov/Archives/edgar/data/1124610/000112461022000009/vmw-20220128.htm" TargetMode="External"/><Relationship Id="rId223" Type="http://schemas.openxmlformats.org/officeDocument/2006/relationships/hyperlink" Target="https://www.anaplan.com/news/thoma-bravo-completes-acquisition-of-anaplan/" TargetMode="External"/><Relationship Id="rId224" Type="http://schemas.openxmlformats.org/officeDocument/2006/relationships/hyperlink" Target="https://www.anaplan.com/news/thoma-bravo-completes-acquisition-of-anaplan/" TargetMode="External"/><Relationship Id="rId225" Type="http://schemas.openxmlformats.org/officeDocument/2006/relationships/hyperlink" Target="https://www.sec.gov/Archives/edgar/data/1540755/000154075522000018/plan-20220131.htm" TargetMode="External"/><Relationship Id="rId226" Type="http://schemas.openxmlformats.org/officeDocument/2006/relationships/hyperlink" Target="https://www.sec.gov/Archives/edgar/data/1540755/000154075522000018/plan-20220131.htm" TargetMode="External"/><Relationship Id="rId227" Type="http://schemas.openxmlformats.org/officeDocument/2006/relationships/hyperlink" Target="https://www.sec.gov/Archives/edgar/data/877890/000087789022000019/ctxs-20211231.htm" TargetMode="External"/><Relationship Id="rId228" Type="http://schemas.openxmlformats.org/officeDocument/2006/relationships/hyperlink" Target="https://www.sec.gov/Archives/edgar/data/877890/000087789022000019/ctxs-20211231.htm" TargetMode="External"/><Relationship Id="rId229" Type="http://schemas.openxmlformats.org/officeDocument/2006/relationships/hyperlink" Target="https://news.microsoft.com/source/2022/01/18/microsoft-to-acquire-activision-blizzard-to-bring-the-joy-and-community-of-gaming-to-everyone-across-every-device/" TargetMode="External"/><Relationship Id="rId230" Type="http://schemas.openxmlformats.org/officeDocument/2006/relationships/hyperlink" Target="https://news.microsoft.com/source/2022/01/18/microsoft-to-acquire-activision-blizzard-to-bring-the-joy-and-community-of-gaming-to-everyone-across-every-device/" TargetMode="External"/><Relationship Id="rId231" Type="http://schemas.openxmlformats.org/officeDocument/2006/relationships/hyperlink" Target="https://www.sec.gov/Archives/edgar/data/718877/000162828021002828/atvi-20201231.htm" TargetMode="External"/><Relationship Id="rId232" Type="http://schemas.openxmlformats.org/officeDocument/2006/relationships/hyperlink" Target="https://www.sec.gov/Archives/edgar/data/718877/000162828021002828/atvi-20201231.htm" TargetMode="External"/><Relationship Id="rId233" Type="http://schemas.openxmlformats.org/officeDocument/2006/relationships/hyperlink" Target="https://www.salesforce.com/news/press-releases/2020/12/01/salesforce-definitive-agreement-update/" TargetMode="External"/><Relationship Id="rId234" Type="http://schemas.openxmlformats.org/officeDocument/2006/relationships/hyperlink" Target="https://www.salesforce.com/news/press-releases/2020/12/01/salesforce-definitive-agreement-update/" TargetMode="External"/><Relationship Id="rId235" Type="http://schemas.openxmlformats.org/officeDocument/2006/relationships/hyperlink" Target="https://www.sec.gov/Archives/edgar/data/1764925/000176492520000251/a1312010-k.htm" TargetMode="External"/><Relationship Id="rId236" Type="http://schemas.openxmlformats.org/officeDocument/2006/relationships/hyperlink" Target="https://www.sec.gov/Archives/edgar/data/1764925/000176492520000251/a1312010-k.htm" TargetMode="External"/><Relationship Id="rId237" Type="http://schemas.openxmlformats.org/officeDocument/2006/relationships/hyperlink" Target="https://ir.amd.com/news-events/press-releases/detail/977/amd-to-acquire-xilinx-creating-the-industrys-high-performance-computing-leader" TargetMode="External"/><Relationship Id="rId238" Type="http://schemas.openxmlformats.org/officeDocument/2006/relationships/hyperlink" Target="https://ir.amd.com/news-events/press-releases/detail/977/amd-to-acquire-xilinx-creating-the-industrys-high-performance-computing-leader" TargetMode="External"/><Relationship Id="rId239" Type="http://schemas.openxmlformats.org/officeDocument/2006/relationships/hyperlink" Target="https://www.sec.gov/Archives/edgar/data/743988/000074398820000020/xlnx328202010k.htm" TargetMode="External"/><Relationship Id="rId240" Type="http://schemas.openxmlformats.org/officeDocument/2006/relationships/hyperlink" Target="https://www.sec.gov/Archives/edgar/data/743988/000074398820000020/xlnx328202010k.htm" TargetMode="External"/><Relationship Id="rId241" Type="http://schemas.openxmlformats.org/officeDocument/2006/relationships/hyperlink" Target="https://www.salesforce.com/news/press-releases/2019/06/10/salesforce-signs-definitive-agreement-to-acquire-tableau/" TargetMode="External"/><Relationship Id="rId242" Type="http://schemas.openxmlformats.org/officeDocument/2006/relationships/hyperlink" Target="https://www.salesforce.com/news/press-releases/2019/06/10/salesforce-signs-definitive-agreement-to-acquire-tableau/" TargetMode="External"/><Relationship Id="rId243" Type="http://schemas.openxmlformats.org/officeDocument/2006/relationships/hyperlink" Target="https://www.sec.gov/Archives/edgar/data/1303652/000130365219000007/a10k2018.htm" TargetMode="External"/><Relationship Id="rId244" Type="http://schemas.openxmlformats.org/officeDocument/2006/relationships/hyperlink" Target="https://www.sec.gov/Archives/edgar/data/1303652/000130365219000007/a10k2018.htm" TargetMode="External"/><Relationship Id="rId245" Type="http://schemas.openxmlformats.org/officeDocument/2006/relationships/hyperlink" Target="https://uk.newsroom.ibm.com/2018-10-28-IBM-To-Acquire-Red-Hat-Completely-Changing-The-Cloud-Landscape-And-Becoming-Worlds-1-Hybrid-Cloud-Provider" TargetMode="External"/><Relationship Id="rId246" Type="http://schemas.openxmlformats.org/officeDocument/2006/relationships/hyperlink" Target="https://uk.newsroom.ibm.com/2018-10-28-IBM-To-Acquire-Red-Hat-Completely-Changing-The-Cloud-Landscape-And-Becoming-Worlds-1-Hybrid-Cloud-Provider" TargetMode="External"/><Relationship Id="rId247" Type="http://schemas.openxmlformats.org/officeDocument/2006/relationships/hyperlink" Target="https://www.sec.gov/Archives/edgar/data/1087423/000108742318000010/rht-10kq4fy18.htm" TargetMode="External"/><Relationship Id="rId248" Type="http://schemas.openxmlformats.org/officeDocument/2006/relationships/hyperlink" Target="https://www.sec.gov/Archives/edgar/data/1087423/000108742318000010/rht-10kq4fy18.htm" TargetMode="External"/><Relationship Id="rId249" Type="http://schemas.openxmlformats.org/officeDocument/2006/relationships/hyperlink" Target="https://news.microsoft.com/source/2016/06/13/microsoft-to-acquire-linkedin/" TargetMode="External"/><Relationship Id="rId250" Type="http://schemas.openxmlformats.org/officeDocument/2006/relationships/hyperlink" Target="https://news.microsoft.com/source/2016/06/13/microsoft-to-acquire-linkedin/" TargetMode="External"/><Relationship Id="rId251" Type="http://schemas.openxmlformats.org/officeDocument/2006/relationships/hyperlink" Target="https://www.sec.gov/Archives/edgar/data/1271024/000127102416000035/a20151231-10xkdocument.htm" TargetMode="External"/><Relationship Id="rId252" Type="http://schemas.openxmlformats.org/officeDocument/2006/relationships/hyperlink" Target="https://www.sec.gov/Archives/edgar/data/1271024/000127102416000035/a20151231-10xkdocument.htm" TargetMode="External"/><Relationship Id="rId25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/>
  </sheetViews>
  <sheetFormatPr defaultRowHeight="15"/>
  <cols>
    <col min="1" max="1" width="14.7109375" customWidth="1"/>
    <col min="2" max="2" width="10.7109375" customWidth="1"/>
    <col min="3" max="3" width="13.7109375" customWidth="1"/>
    <col min="4" max="5" width="24.7109375" customWidth="1"/>
    <col min="6" max="6" width="18.7109375" customWidth="1"/>
    <col min="7" max="7" width="11.7109375" customWidth="1"/>
    <col min="8" max="8" width="12.7109375" customWidth="1"/>
    <col min="9" max="9" width="10.7109375" customWidth="1"/>
    <col min="10" max="10" width="58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6" spans="1:10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spans="1:10">
      <c r="A7" s="5">
        <v>93</v>
      </c>
      <c r="B7" s="5">
        <v>28</v>
      </c>
      <c r="C7" s="5">
        <v>8</v>
      </c>
      <c r="D7" s="5">
        <v>57</v>
      </c>
      <c r="E7" s="5">
        <v>19</v>
      </c>
      <c r="F7" s="5">
        <v>52</v>
      </c>
      <c r="G7" s="5">
        <v>10</v>
      </c>
      <c r="H7" s="5">
        <v>6</v>
      </c>
      <c r="I7" s="5">
        <v>2</v>
      </c>
      <c r="J7" s="5" t="s">
        <v>13</v>
      </c>
    </row>
    <row r="10" spans="1:10">
      <c r="A10" s="3" t="s">
        <v>14</v>
      </c>
      <c r="B10" s="3"/>
      <c r="C10" s="3"/>
      <c r="D10" s="3"/>
      <c r="E10" s="3"/>
      <c r="F10" s="3"/>
      <c r="G10" s="3"/>
      <c r="H10" s="3"/>
      <c r="I10" s="3"/>
      <c r="J10" s="3"/>
    </row>
    <row r="12" spans="1:10">
      <c r="A12" s="4" t="s">
        <v>15</v>
      </c>
      <c r="B12" s="4" t="s">
        <v>16</v>
      </c>
      <c r="C12" s="4" t="s">
        <v>17</v>
      </c>
      <c r="D12" s="4" t="s">
        <v>18</v>
      </c>
    </row>
    <row r="13" spans="1:10">
      <c r="A13" s="6">
        <v>10.20093522208724</v>
      </c>
      <c r="B13" s="6" t="s">
        <v>19</v>
      </c>
      <c r="C13" s="7">
        <v>6</v>
      </c>
      <c r="D13" s="7">
        <v>2</v>
      </c>
    </row>
    <row r="16" spans="1:10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</row>
    <row r="18" spans="1:10" ht="30" customHeight="1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29</v>
      </c>
      <c r="J18" s="4" t="s">
        <v>30</v>
      </c>
    </row>
    <row r="19" spans="1:10" ht="30" customHeight="1">
      <c r="A19" s="8">
        <v>46210</v>
      </c>
      <c r="B19" s="9" t="s">
        <v>6</v>
      </c>
      <c r="C19" s="9" t="s">
        <v>31</v>
      </c>
      <c r="D19" s="9" t="s">
        <v>32</v>
      </c>
      <c r="E19" s="9" t="s">
        <v>33</v>
      </c>
      <c r="G19" s="9" t="s">
        <v>34</v>
      </c>
      <c r="H19" s="9" t="s">
        <v>35</v>
      </c>
      <c r="I19" s="9">
        <v>1</v>
      </c>
      <c r="J19" s="9" t="s">
        <v>36</v>
      </c>
    </row>
    <row r="20" spans="1:10" ht="30" customHeight="1">
      <c r="A20" s="8">
        <v>46201</v>
      </c>
      <c r="B20" s="9" t="s">
        <v>6</v>
      </c>
      <c r="C20" s="9" t="s">
        <v>37</v>
      </c>
      <c r="D20" s="9" t="s">
        <v>38</v>
      </c>
      <c r="E20" s="9" t="s">
        <v>33</v>
      </c>
      <c r="F20" s="10">
        <v>20000000000</v>
      </c>
      <c r="G20" s="9" t="s">
        <v>39</v>
      </c>
      <c r="H20" s="9" t="s">
        <v>35</v>
      </c>
      <c r="I20" s="9">
        <v>1</v>
      </c>
      <c r="J20" s="9" t="s">
        <v>40</v>
      </c>
    </row>
    <row r="21" spans="1:10" ht="30" customHeight="1">
      <c r="A21" s="8">
        <v>46192</v>
      </c>
      <c r="B21" s="9" t="s">
        <v>6</v>
      </c>
      <c r="C21" s="9" t="s">
        <v>41</v>
      </c>
      <c r="D21" s="9" t="s">
        <v>42</v>
      </c>
      <c r="E21" s="9" t="s">
        <v>33</v>
      </c>
      <c r="F21" s="10">
        <v>60000000000</v>
      </c>
      <c r="G21" s="9" t="s">
        <v>39</v>
      </c>
      <c r="H21" s="9" t="s">
        <v>35</v>
      </c>
      <c r="I21" s="9">
        <v>3</v>
      </c>
      <c r="J21" s="9" t="s">
        <v>43</v>
      </c>
    </row>
    <row r="22" spans="1:10" ht="30" customHeight="1">
      <c r="A22" s="8">
        <v>46175</v>
      </c>
      <c r="B22" s="9" t="s">
        <v>4</v>
      </c>
      <c r="C22" s="9" t="s">
        <v>44</v>
      </c>
      <c r="D22" s="9" t="s">
        <v>45</v>
      </c>
      <c r="E22" s="9" t="s">
        <v>46</v>
      </c>
      <c r="F22" s="10">
        <v>35000000000</v>
      </c>
      <c r="G22" s="9" t="s">
        <v>39</v>
      </c>
      <c r="H22" s="9" t="s">
        <v>35</v>
      </c>
      <c r="I22" s="9">
        <v>3</v>
      </c>
      <c r="J22" s="9" t="s">
        <v>47</v>
      </c>
    </row>
    <row r="23" spans="1:10" ht="30" customHeight="1">
      <c r="A23" s="8">
        <v>46080</v>
      </c>
      <c r="B23" s="9" t="s">
        <v>6</v>
      </c>
      <c r="C23" s="9" t="s">
        <v>41</v>
      </c>
      <c r="D23" s="9" t="s">
        <v>48</v>
      </c>
      <c r="E23" s="9" t="s">
        <v>33</v>
      </c>
      <c r="F23" s="10">
        <v>7000000000</v>
      </c>
      <c r="G23" s="9" t="s">
        <v>39</v>
      </c>
      <c r="H23" s="9" t="s">
        <v>35</v>
      </c>
      <c r="I23" s="9">
        <v>1</v>
      </c>
      <c r="J23" s="9" t="s">
        <v>49</v>
      </c>
    </row>
  </sheetData>
  <mergeCells count="5">
    <mergeCell ref="A1:J1"/>
    <mergeCell ref="A2:J2"/>
    <mergeCell ref="A4:J4"/>
    <mergeCell ref="A10:J10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9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5" width="16.7109375" customWidth="1"/>
    <col min="6" max="8" width="24.7109375" customWidth="1"/>
    <col min="9" max="37" width="16.7109375" customWidth="1"/>
    <col min="38" max="39" width="45.7109375" customWidth="1"/>
    <col min="40" max="44" width="16.7109375" customWidth="1"/>
    <col min="45" max="46" width="48.7109375" customWidth="1"/>
  </cols>
  <sheetData>
    <row r="1" spans="1:46" ht="28" customHeight="1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6" spans="1:46" ht="34" customHeight="1">
      <c r="A6" t="s">
        <v>52</v>
      </c>
      <c r="B6" t="s">
        <v>53</v>
      </c>
      <c r="C6" t="s">
        <v>22</v>
      </c>
      <c r="D6" t="s">
        <v>54</v>
      </c>
      <c r="E6" t="s">
        <v>23</v>
      </c>
      <c r="F6" t="s">
        <v>24</v>
      </c>
      <c r="G6" t="s">
        <v>25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27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A6" t="s">
        <v>73</v>
      </c>
      <c r="AB6" t="s">
        <v>74</v>
      </c>
      <c r="AC6" t="s">
        <v>75</v>
      </c>
      <c r="AD6" t="s">
        <v>76</v>
      </c>
      <c r="AE6" t="s">
        <v>77</v>
      </c>
      <c r="AF6" t="s">
        <v>78</v>
      </c>
      <c r="AG6" t="s">
        <v>79</v>
      </c>
      <c r="AH6" t="s">
        <v>80</v>
      </c>
      <c r="AI6" t="s">
        <v>81</v>
      </c>
      <c r="AJ6" t="s">
        <v>82</v>
      </c>
      <c r="AK6" t="s">
        <v>83</v>
      </c>
      <c r="AL6" t="s">
        <v>84</v>
      </c>
      <c r="AM6" t="s">
        <v>85</v>
      </c>
      <c r="AN6" t="s">
        <v>28</v>
      </c>
      <c r="AO6" t="s">
        <v>86</v>
      </c>
      <c r="AP6" t="s">
        <v>87</v>
      </c>
      <c r="AQ6" t="s">
        <v>88</v>
      </c>
      <c r="AR6" t="s">
        <v>89</v>
      </c>
      <c r="AS6" t="s">
        <v>90</v>
      </c>
      <c r="AT6" t="s">
        <v>30</v>
      </c>
    </row>
    <row r="7" spans="1:46">
      <c r="A7" s="9" t="s">
        <v>91</v>
      </c>
      <c r="B7" s="8">
        <v>46211</v>
      </c>
      <c r="C7" s="9" t="s">
        <v>6</v>
      </c>
      <c r="D7" s="9" t="s">
        <v>92</v>
      </c>
      <c r="E7" s="9" t="s">
        <v>31</v>
      </c>
      <c r="F7" s="9" t="s">
        <v>34</v>
      </c>
      <c r="G7" s="9" t="s">
        <v>33</v>
      </c>
      <c r="H7" s="9" t="s">
        <v>33</v>
      </c>
      <c r="I7" s="9" t="s">
        <v>93</v>
      </c>
      <c r="J7" s="9" t="s">
        <v>94</v>
      </c>
      <c r="K7" s="10">
        <v>1100000000000</v>
      </c>
      <c r="M7" s="9" t="s">
        <v>39</v>
      </c>
      <c r="O7" s="9" t="s">
        <v>33</v>
      </c>
      <c r="P7" s="9" t="s">
        <v>34</v>
      </c>
      <c r="Q7" s="9" t="s">
        <v>95</v>
      </c>
      <c r="R7" s="9" t="s">
        <v>34</v>
      </c>
      <c r="S7" s="9" t="s">
        <v>34</v>
      </c>
      <c r="U7" s="9" t="s">
        <v>34</v>
      </c>
      <c r="X7" s="9" t="s">
        <v>34</v>
      </c>
      <c r="AB7" s="9" t="s">
        <v>33</v>
      </c>
      <c r="AD7" s="9" t="s">
        <v>34</v>
      </c>
      <c r="AH7" s="9" t="s">
        <v>34</v>
      </c>
      <c r="AK7" s="9" t="s">
        <v>34</v>
      </c>
      <c r="AL7" s="9" t="s">
        <v>34</v>
      </c>
      <c r="AM7" s="9" t="s">
        <v>96</v>
      </c>
      <c r="AN7" s="9" t="s">
        <v>97</v>
      </c>
      <c r="AO7" s="9">
        <v>75</v>
      </c>
      <c r="AP7" s="9" t="s">
        <v>98</v>
      </c>
      <c r="AQ7" s="9">
        <v>1</v>
      </c>
      <c r="AR7" s="9" t="s">
        <v>99</v>
      </c>
      <c r="AS7" s="9" t="s">
        <v>100</v>
      </c>
      <c r="AT7" s="9" t="s">
        <v>101</v>
      </c>
    </row>
    <row r="8" spans="1:46">
      <c r="A8" s="9" t="s">
        <v>102</v>
      </c>
      <c r="B8" s="8">
        <v>46211</v>
      </c>
      <c r="C8" s="9" t="s">
        <v>6</v>
      </c>
      <c r="D8" s="9" t="s">
        <v>103</v>
      </c>
      <c r="E8" s="9" t="s">
        <v>104</v>
      </c>
      <c r="F8" s="9" t="s">
        <v>105</v>
      </c>
      <c r="G8" s="9" t="s">
        <v>33</v>
      </c>
      <c r="H8" s="9" t="s">
        <v>33</v>
      </c>
      <c r="I8" s="9" t="s">
        <v>106</v>
      </c>
      <c r="J8" s="9" t="s">
        <v>94</v>
      </c>
      <c r="K8" s="10">
        <v>25000000000</v>
      </c>
      <c r="M8" s="9" t="s">
        <v>107</v>
      </c>
      <c r="O8" s="9" t="s">
        <v>33</v>
      </c>
      <c r="P8" s="9" t="s">
        <v>34</v>
      </c>
      <c r="Q8" s="9" t="s">
        <v>108</v>
      </c>
      <c r="R8" s="9" t="s">
        <v>34</v>
      </c>
      <c r="S8" s="9" t="s">
        <v>34</v>
      </c>
      <c r="U8" s="9" t="s">
        <v>34</v>
      </c>
      <c r="X8" s="9" t="s">
        <v>34</v>
      </c>
      <c r="AB8" s="9" t="s">
        <v>33</v>
      </c>
      <c r="AD8" s="9" t="s">
        <v>34</v>
      </c>
      <c r="AH8" s="9" t="s">
        <v>34</v>
      </c>
      <c r="AK8" s="9" t="s">
        <v>34</v>
      </c>
      <c r="AL8" s="9" t="s">
        <v>34</v>
      </c>
      <c r="AM8" s="9" t="s">
        <v>96</v>
      </c>
      <c r="AN8" s="9" t="s">
        <v>97</v>
      </c>
      <c r="AO8" s="9">
        <v>75</v>
      </c>
      <c r="AP8" s="9" t="s">
        <v>109</v>
      </c>
      <c r="AQ8" s="9">
        <v>1</v>
      </c>
      <c r="AR8" s="9" t="s">
        <v>110</v>
      </c>
      <c r="AS8" s="9" t="s">
        <v>111</v>
      </c>
      <c r="AT8" s="9" t="s">
        <v>112</v>
      </c>
    </row>
    <row r="9" spans="1:46">
      <c r="A9" s="9" t="s">
        <v>113</v>
      </c>
      <c r="B9" s="8">
        <v>46210</v>
      </c>
      <c r="C9" s="9" t="s">
        <v>6</v>
      </c>
      <c r="D9" s="9" t="s">
        <v>92</v>
      </c>
      <c r="E9" s="9" t="s">
        <v>31</v>
      </c>
      <c r="F9" s="9" t="s">
        <v>32</v>
      </c>
      <c r="G9" s="9" t="s">
        <v>33</v>
      </c>
      <c r="H9" s="9" t="s">
        <v>33</v>
      </c>
      <c r="I9" s="9" t="s">
        <v>106</v>
      </c>
      <c r="J9" s="9" t="s">
        <v>94</v>
      </c>
      <c r="M9" s="9" t="s">
        <v>34</v>
      </c>
      <c r="O9" s="9" t="s">
        <v>33</v>
      </c>
      <c r="P9" s="9" t="s">
        <v>34</v>
      </c>
      <c r="Q9" s="9" t="s">
        <v>108</v>
      </c>
      <c r="R9" s="9" t="s">
        <v>34</v>
      </c>
      <c r="S9" s="9" t="s">
        <v>34</v>
      </c>
      <c r="U9" s="9" t="s">
        <v>34</v>
      </c>
      <c r="X9" s="9" t="s">
        <v>34</v>
      </c>
      <c r="AB9" s="9" t="s">
        <v>33</v>
      </c>
      <c r="AD9" s="9" t="s">
        <v>34</v>
      </c>
      <c r="AH9" s="9" t="s">
        <v>34</v>
      </c>
      <c r="AK9" s="9" t="s">
        <v>34</v>
      </c>
      <c r="AL9" s="9" t="s">
        <v>34</v>
      </c>
      <c r="AM9" s="9" t="s">
        <v>96</v>
      </c>
      <c r="AN9" s="9" t="s">
        <v>35</v>
      </c>
      <c r="AO9" s="9">
        <v>100</v>
      </c>
      <c r="AP9" s="9" t="s">
        <v>98</v>
      </c>
      <c r="AQ9" s="9">
        <v>1</v>
      </c>
      <c r="AR9" s="9" t="s">
        <v>99</v>
      </c>
      <c r="AS9" s="9" t="s">
        <v>114</v>
      </c>
      <c r="AT9" s="9" t="s">
        <v>36</v>
      </c>
    </row>
    <row r="10" spans="1:46">
      <c r="A10" s="9" t="s">
        <v>115</v>
      </c>
      <c r="B10" s="8">
        <v>46210</v>
      </c>
      <c r="C10" s="9" t="s">
        <v>6</v>
      </c>
      <c r="D10" s="9" t="s">
        <v>116</v>
      </c>
      <c r="E10" s="9" t="s">
        <v>31</v>
      </c>
      <c r="F10" s="9" t="s">
        <v>34</v>
      </c>
      <c r="G10" s="9" t="s">
        <v>33</v>
      </c>
      <c r="H10" s="9" t="s">
        <v>33</v>
      </c>
      <c r="I10" s="9" t="s">
        <v>9</v>
      </c>
      <c r="J10" s="9" t="s">
        <v>94</v>
      </c>
      <c r="M10" s="9" t="s">
        <v>34</v>
      </c>
      <c r="O10" s="9" t="s">
        <v>33</v>
      </c>
      <c r="P10" s="9" t="s">
        <v>34</v>
      </c>
      <c r="Q10" s="9" t="s">
        <v>108</v>
      </c>
      <c r="R10" s="9" t="s">
        <v>34</v>
      </c>
      <c r="S10" s="9" t="s">
        <v>117</v>
      </c>
      <c r="U10" s="9" t="s">
        <v>34</v>
      </c>
      <c r="X10" s="9" t="s">
        <v>34</v>
      </c>
      <c r="AB10" s="9" t="s">
        <v>33</v>
      </c>
      <c r="AD10" s="9" t="s">
        <v>34</v>
      </c>
      <c r="AH10" s="9" t="s">
        <v>34</v>
      </c>
      <c r="AK10" s="9" t="s">
        <v>34</v>
      </c>
      <c r="AL10" s="9" t="s">
        <v>34</v>
      </c>
      <c r="AM10" s="9" t="s">
        <v>96</v>
      </c>
      <c r="AN10" s="9" t="s">
        <v>97</v>
      </c>
      <c r="AO10" s="9">
        <v>40</v>
      </c>
      <c r="AP10" s="9" t="s">
        <v>98</v>
      </c>
      <c r="AQ10" s="9">
        <v>1</v>
      </c>
      <c r="AR10" s="9" t="s">
        <v>99</v>
      </c>
      <c r="AS10" s="9" t="s">
        <v>118</v>
      </c>
      <c r="AT10" s="9" t="s">
        <v>119</v>
      </c>
    </row>
    <row r="11" spans="1:46">
      <c r="A11" s="9" t="s">
        <v>120</v>
      </c>
      <c r="B11" s="8">
        <v>46209</v>
      </c>
      <c r="C11" s="9" t="s">
        <v>6</v>
      </c>
      <c r="D11" s="9" t="s">
        <v>116</v>
      </c>
      <c r="E11" s="9" t="s">
        <v>31</v>
      </c>
      <c r="F11" s="9" t="s">
        <v>34</v>
      </c>
      <c r="G11" s="9" t="s">
        <v>33</v>
      </c>
      <c r="H11" s="9" t="s">
        <v>33</v>
      </c>
      <c r="I11" s="9" t="s">
        <v>9</v>
      </c>
      <c r="J11" s="9" t="s">
        <v>94</v>
      </c>
      <c r="M11" s="9" t="s">
        <v>34</v>
      </c>
      <c r="O11" s="9" t="s">
        <v>33</v>
      </c>
      <c r="P11" s="9" t="s">
        <v>34</v>
      </c>
      <c r="Q11" s="9" t="s">
        <v>108</v>
      </c>
      <c r="R11" s="9" t="s">
        <v>121</v>
      </c>
      <c r="S11" s="9" t="s">
        <v>122</v>
      </c>
      <c r="U11" s="9" t="s">
        <v>34</v>
      </c>
      <c r="X11" s="9" t="s">
        <v>34</v>
      </c>
      <c r="AB11" s="9" t="s">
        <v>33</v>
      </c>
      <c r="AD11" s="9" t="s">
        <v>34</v>
      </c>
      <c r="AH11" s="9" t="s">
        <v>34</v>
      </c>
      <c r="AK11" s="9" t="s">
        <v>34</v>
      </c>
      <c r="AL11" s="9" t="s">
        <v>34</v>
      </c>
      <c r="AM11" s="9" t="s">
        <v>96</v>
      </c>
      <c r="AN11" s="9" t="s">
        <v>97</v>
      </c>
      <c r="AO11" s="9">
        <v>40</v>
      </c>
      <c r="AP11" s="9" t="s">
        <v>98</v>
      </c>
      <c r="AQ11" s="9">
        <v>1</v>
      </c>
      <c r="AR11" s="9" t="s">
        <v>99</v>
      </c>
      <c r="AS11" s="9" t="s">
        <v>123</v>
      </c>
      <c r="AT11" s="9" t="s">
        <v>124</v>
      </c>
    </row>
    <row r="12" spans="1:46">
      <c r="A12" s="9" t="s">
        <v>125</v>
      </c>
      <c r="B12" s="8">
        <v>46209</v>
      </c>
      <c r="C12" s="9" t="s">
        <v>6</v>
      </c>
      <c r="D12" s="9" t="s">
        <v>92</v>
      </c>
      <c r="E12" s="9" t="s">
        <v>31</v>
      </c>
      <c r="F12" s="9" t="s">
        <v>34</v>
      </c>
      <c r="G12" s="9" t="s">
        <v>33</v>
      </c>
      <c r="H12" s="9" t="s">
        <v>33</v>
      </c>
      <c r="I12" s="9" t="s">
        <v>106</v>
      </c>
      <c r="J12" s="9" t="s">
        <v>94</v>
      </c>
      <c r="M12" s="9" t="s">
        <v>34</v>
      </c>
      <c r="O12" s="9" t="s">
        <v>33</v>
      </c>
      <c r="P12" s="9" t="s">
        <v>34</v>
      </c>
      <c r="Q12" s="9" t="s">
        <v>108</v>
      </c>
      <c r="R12" s="9" t="s">
        <v>34</v>
      </c>
      <c r="S12" s="9" t="s">
        <v>34</v>
      </c>
      <c r="U12" s="9" t="s">
        <v>34</v>
      </c>
      <c r="X12" s="9" t="s">
        <v>34</v>
      </c>
      <c r="AB12" s="9" t="s">
        <v>33</v>
      </c>
      <c r="AD12" s="9" t="s">
        <v>34</v>
      </c>
      <c r="AH12" s="9" t="s">
        <v>34</v>
      </c>
      <c r="AK12" s="9" t="s">
        <v>34</v>
      </c>
      <c r="AL12" s="9" t="s">
        <v>34</v>
      </c>
      <c r="AM12" s="9" t="s">
        <v>96</v>
      </c>
      <c r="AN12" s="9" t="s">
        <v>97</v>
      </c>
      <c r="AO12" s="9">
        <v>75</v>
      </c>
      <c r="AP12" s="9" t="s">
        <v>98</v>
      </c>
      <c r="AQ12" s="9">
        <v>1</v>
      </c>
      <c r="AR12" s="9" t="s">
        <v>99</v>
      </c>
      <c r="AS12" s="9" t="s">
        <v>126</v>
      </c>
      <c r="AT12" s="9" t="s">
        <v>127</v>
      </c>
    </row>
    <row r="13" spans="1:46">
      <c r="A13" s="9" t="s">
        <v>128</v>
      </c>
      <c r="B13" s="8">
        <v>46209</v>
      </c>
      <c r="C13" s="9" t="s">
        <v>4</v>
      </c>
      <c r="D13" s="9" t="s">
        <v>103</v>
      </c>
      <c r="E13" s="9" t="s">
        <v>104</v>
      </c>
      <c r="F13" s="9" t="s">
        <v>34</v>
      </c>
      <c r="G13" s="9" t="s">
        <v>34</v>
      </c>
      <c r="H13" s="9" t="s">
        <v>34</v>
      </c>
      <c r="I13" s="9" t="s">
        <v>106</v>
      </c>
      <c r="J13" s="9" t="s">
        <v>34</v>
      </c>
      <c r="M13" s="9" t="s">
        <v>34</v>
      </c>
      <c r="O13" s="9" t="s">
        <v>34</v>
      </c>
      <c r="P13" s="9" t="s">
        <v>34</v>
      </c>
      <c r="Q13" s="9" t="s">
        <v>129</v>
      </c>
      <c r="R13" s="9" t="s">
        <v>33</v>
      </c>
      <c r="S13" s="9" t="s">
        <v>33</v>
      </c>
      <c r="U13" s="9" t="s">
        <v>33</v>
      </c>
      <c r="X13" s="9" t="s">
        <v>33</v>
      </c>
      <c r="AB13" s="9" t="s">
        <v>33</v>
      </c>
      <c r="AD13" s="9" t="s">
        <v>34</v>
      </c>
      <c r="AH13" s="9" t="s">
        <v>34</v>
      </c>
      <c r="AK13" s="9" t="s">
        <v>34</v>
      </c>
      <c r="AL13" s="9" t="s">
        <v>34</v>
      </c>
      <c r="AM13" s="9" t="s">
        <v>96</v>
      </c>
      <c r="AN13" s="9" t="s">
        <v>130</v>
      </c>
      <c r="AO13" s="9">
        <v>0</v>
      </c>
      <c r="AP13" s="9" t="s">
        <v>109</v>
      </c>
      <c r="AQ13" s="9">
        <v>1</v>
      </c>
      <c r="AR13" s="9" t="s">
        <v>131</v>
      </c>
      <c r="AS13" s="9" t="s">
        <v>132</v>
      </c>
      <c r="AT13" s="9" t="s">
        <v>133</v>
      </c>
    </row>
    <row r="14" spans="1:46">
      <c r="A14" s="9" t="s">
        <v>134</v>
      </c>
      <c r="B14" s="8">
        <v>46209</v>
      </c>
      <c r="C14" s="9" t="s">
        <v>6</v>
      </c>
      <c r="D14" s="9" t="s">
        <v>103</v>
      </c>
      <c r="E14" s="9" t="s">
        <v>104</v>
      </c>
      <c r="F14" s="9" t="s">
        <v>135</v>
      </c>
      <c r="G14" s="9" t="s">
        <v>33</v>
      </c>
      <c r="H14" s="9" t="s">
        <v>33</v>
      </c>
      <c r="I14" s="9" t="s">
        <v>106</v>
      </c>
      <c r="J14" s="9" t="s">
        <v>34</v>
      </c>
      <c r="M14" s="9" t="s">
        <v>34</v>
      </c>
      <c r="O14" s="9" t="s">
        <v>33</v>
      </c>
      <c r="P14" s="9" t="s">
        <v>34</v>
      </c>
      <c r="Q14" s="9" t="s">
        <v>108</v>
      </c>
      <c r="R14" s="9" t="s">
        <v>34</v>
      </c>
      <c r="S14" s="9" t="s">
        <v>34</v>
      </c>
      <c r="U14" s="9" t="s">
        <v>34</v>
      </c>
      <c r="X14" s="9" t="s">
        <v>34</v>
      </c>
      <c r="AB14" s="9" t="s">
        <v>33</v>
      </c>
      <c r="AD14" s="9" t="s">
        <v>34</v>
      </c>
      <c r="AH14" s="9" t="s">
        <v>34</v>
      </c>
      <c r="AK14" s="9" t="s">
        <v>34</v>
      </c>
      <c r="AL14" s="9" t="s">
        <v>34</v>
      </c>
      <c r="AM14" s="9" t="s">
        <v>96</v>
      </c>
      <c r="AN14" s="9" t="s">
        <v>97</v>
      </c>
      <c r="AO14" s="9">
        <v>75</v>
      </c>
      <c r="AP14" s="9" t="s">
        <v>109</v>
      </c>
      <c r="AQ14" s="9">
        <v>1</v>
      </c>
      <c r="AR14" s="9" t="s">
        <v>136</v>
      </c>
      <c r="AS14" s="9" t="s">
        <v>137</v>
      </c>
      <c r="AT14" s="9" t="s">
        <v>138</v>
      </c>
    </row>
    <row r="15" spans="1:46">
      <c r="A15" s="9" t="s">
        <v>139</v>
      </c>
      <c r="B15" s="8">
        <v>46206</v>
      </c>
      <c r="C15" s="9" t="s">
        <v>6</v>
      </c>
      <c r="D15" s="9" t="s">
        <v>116</v>
      </c>
      <c r="E15" s="9" t="s">
        <v>31</v>
      </c>
      <c r="F15" s="9" t="s">
        <v>34</v>
      </c>
      <c r="G15" s="9" t="s">
        <v>33</v>
      </c>
      <c r="H15" s="9" t="s">
        <v>33</v>
      </c>
      <c r="I15" s="9" t="s">
        <v>106</v>
      </c>
      <c r="J15" s="9" t="s">
        <v>94</v>
      </c>
      <c r="M15" s="9" t="s">
        <v>34</v>
      </c>
      <c r="O15" s="9" t="s">
        <v>33</v>
      </c>
      <c r="P15" s="9" t="s">
        <v>34</v>
      </c>
      <c r="Q15" s="9" t="s">
        <v>108</v>
      </c>
      <c r="R15" s="9" t="s">
        <v>34</v>
      </c>
      <c r="S15" s="9" t="s">
        <v>34</v>
      </c>
      <c r="U15" s="9" t="s">
        <v>34</v>
      </c>
      <c r="X15" s="9" t="s">
        <v>34</v>
      </c>
      <c r="AB15" s="9" t="s">
        <v>33</v>
      </c>
      <c r="AD15" s="9" t="s">
        <v>34</v>
      </c>
      <c r="AH15" s="9" t="s">
        <v>34</v>
      </c>
      <c r="AK15" s="9" t="s">
        <v>34</v>
      </c>
      <c r="AL15" s="9" t="s">
        <v>34</v>
      </c>
      <c r="AM15" s="9" t="s">
        <v>96</v>
      </c>
      <c r="AN15" s="9" t="s">
        <v>97</v>
      </c>
      <c r="AO15" s="9">
        <v>40</v>
      </c>
      <c r="AP15" s="9" t="s">
        <v>98</v>
      </c>
      <c r="AQ15" s="9">
        <v>1</v>
      </c>
      <c r="AR15" s="9" t="s">
        <v>99</v>
      </c>
      <c r="AS15" s="9" t="s">
        <v>140</v>
      </c>
      <c r="AT15" s="9" t="s">
        <v>141</v>
      </c>
    </row>
    <row r="16" spans="1:46">
      <c r="A16" s="9" t="s">
        <v>142</v>
      </c>
      <c r="B16" s="8">
        <v>46206</v>
      </c>
      <c r="C16" s="9" t="s">
        <v>6</v>
      </c>
      <c r="D16" s="9" t="s">
        <v>116</v>
      </c>
      <c r="E16" s="9" t="s">
        <v>31</v>
      </c>
      <c r="F16" s="9" t="s">
        <v>34</v>
      </c>
      <c r="G16" s="9" t="s">
        <v>33</v>
      </c>
      <c r="H16" s="9" t="s">
        <v>33</v>
      </c>
      <c r="I16" s="9" t="s">
        <v>106</v>
      </c>
      <c r="J16" s="9" t="s">
        <v>34</v>
      </c>
      <c r="M16" s="9" t="s">
        <v>34</v>
      </c>
      <c r="O16" s="9" t="s">
        <v>33</v>
      </c>
      <c r="P16" s="9" t="s">
        <v>34</v>
      </c>
      <c r="Q16" s="9" t="s">
        <v>108</v>
      </c>
      <c r="R16" s="9" t="s">
        <v>34</v>
      </c>
      <c r="S16" s="9" t="s">
        <v>34</v>
      </c>
      <c r="U16" s="9" t="s">
        <v>34</v>
      </c>
      <c r="X16" s="9" t="s">
        <v>34</v>
      </c>
      <c r="AB16" s="9" t="s">
        <v>33</v>
      </c>
      <c r="AD16" s="9" t="s">
        <v>34</v>
      </c>
      <c r="AH16" s="9" t="s">
        <v>34</v>
      </c>
      <c r="AK16" s="9" t="s">
        <v>34</v>
      </c>
      <c r="AL16" s="9" t="s">
        <v>34</v>
      </c>
      <c r="AM16" s="9" t="s">
        <v>96</v>
      </c>
      <c r="AN16" s="9" t="s">
        <v>97</v>
      </c>
      <c r="AO16" s="9">
        <v>40</v>
      </c>
      <c r="AP16" s="9" t="s">
        <v>98</v>
      </c>
      <c r="AQ16" s="9">
        <v>1</v>
      </c>
      <c r="AR16" s="9" t="s">
        <v>99</v>
      </c>
      <c r="AS16" s="9" t="s">
        <v>143</v>
      </c>
      <c r="AT16" s="9" t="s">
        <v>144</v>
      </c>
    </row>
    <row r="17" spans="1:46">
      <c r="A17" s="9" t="s">
        <v>145</v>
      </c>
      <c r="B17" s="8">
        <v>46206</v>
      </c>
      <c r="C17" s="9" t="s">
        <v>6</v>
      </c>
      <c r="D17" s="9" t="s">
        <v>116</v>
      </c>
      <c r="E17" s="9" t="s">
        <v>31</v>
      </c>
      <c r="F17" s="9" t="s">
        <v>34</v>
      </c>
      <c r="G17" s="9" t="s">
        <v>33</v>
      </c>
      <c r="H17" s="9" t="s">
        <v>33</v>
      </c>
      <c r="I17" s="9" t="s">
        <v>106</v>
      </c>
      <c r="J17" s="9" t="s">
        <v>94</v>
      </c>
      <c r="M17" s="9" t="s">
        <v>34</v>
      </c>
      <c r="O17" s="9" t="s">
        <v>33</v>
      </c>
      <c r="P17" s="9" t="s">
        <v>34</v>
      </c>
      <c r="Q17" s="9" t="s">
        <v>108</v>
      </c>
      <c r="R17" s="9" t="s">
        <v>34</v>
      </c>
      <c r="S17" s="9" t="s">
        <v>34</v>
      </c>
      <c r="U17" s="9" t="s">
        <v>34</v>
      </c>
      <c r="X17" s="9" t="s">
        <v>34</v>
      </c>
      <c r="AB17" s="9" t="s">
        <v>33</v>
      </c>
      <c r="AD17" s="9" t="s">
        <v>34</v>
      </c>
      <c r="AH17" s="9" t="s">
        <v>34</v>
      </c>
      <c r="AK17" s="9" t="s">
        <v>34</v>
      </c>
      <c r="AL17" s="9" t="s">
        <v>34</v>
      </c>
      <c r="AM17" s="9" t="s">
        <v>96</v>
      </c>
      <c r="AN17" s="9" t="s">
        <v>97</v>
      </c>
      <c r="AO17" s="9">
        <v>40</v>
      </c>
      <c r="AP17" s="9" t="s">
        <v>98</v>
      </c>
      <c r="AQ17" s="9">
        <v>1</v>
      </c>
      <c r="AR17" s="9" t="s">
        <v>99</v>
      </c>
      <c r="AS17" s="9" t="s">
        <v>146</v>
      </c>
      <c r="AT17" s="9" t="s">
        <v>147</v>
      </c>
    </row>
    <row r="18" spans="1:46">
      <c r="A18" s="9" t="s">
        <v>148</v>
      </c>
      <c r="B18" s="8">
        <v>46206</v>
      </c>
      <c r="C18" s="9" t="s">
        <v>4</v>
      </c>
      <c r="D18" s="9" t="s">
        <v>103</v>
      </c>
      <c r="E18" s="9" t="s">
        <v>104</v>
      </c>
      <c r="F18" s="9" t="s">
        <v>34</v>
      </c>
      <c r="G18" s="9" t="s">
        <v>34</v>
      </c>
      <c r="H18" s="9" t="s">
        <v>34</v>
      </c>
      <c r="I18" s="9" t="s">
        <v>9</v>
      </c>
      <c r="J18" s="9" t="s">
        <v>34</v>
      </c>
      <c r="M18" s="9" t="s">
        <v>34</v>
      </c>
      <c r="O18" s="9" t="s">
        <v>34</v>
      </c>
      <c r="P18" s="9" t="s">
        <v>34</v>
      </c>
      <c r="Q18" s="9" t="s">
        <v>129</v>
      </c>
      <c r="R18" s="9" t="s">
        <v>33</v>
      </c>
      <c r="S18" s="9" t="s">
        <v>33</v>
      </c>
      <c r="U18" s="9" t="s">
        <v>33</v>
      </c>
      <c r="X18" s="9" t="s">
        <v>33</v>
      </c>
      <c r="AB18" s="9" t="s">
        <v>33</v>
      </c>
      <c r="AD18" s="9" t="s">
        <v>34</v>
      </c>
      <c r="AH18" s="9" t="s">
        <v>34</v>
      </c>
      <c r="AK18" s="9" t="s">
        <v>34</v>
      </c>
      <c r="AL18" s="9" t="s">
        <v>34</v>
      </c>
      <c r="AM18" s="9" t="s">
        <v>96</v>
      </c>
      <c r="AN18" s="9" t="s">
        <v>97</v>
      </c>
      <c r="AO18" s="9">
        <v>40</v>
      </c>
      <c r="AP18" s="9" t="s">
        <v>109</v>
      </c>
      <c r="AQ18" s="9">
        <v>4</v>
      </c>
      <c r="AR18" s="9" t="s">
        <v>149</v>
      </c>
      <c r="AS18" s="9" t="s">
        <v>150</v>
      </c>
      <c r="AT18" s="9" t="s">
        <v>151</v>
      </c>
    </row>
    <row r="19" spans="1:46">
      <c r="A19" s="9" t="s">
        <v>152</v>
      </c>
      <c r="B19" s="8">
        <v>46205</v>
      </c>
      <c r="C19" s="9" t="s">
        <v>6</v>
      </c>
      <c r="D19" s="9" t="s">
        <v>116</v>
      </c>
      <c r="E19" s="9" t="s">
        <v>153</v>
      </c>
      <c r="F19" s="9" t="s">
        <v>34</v>
      </c>
      <c r="G19" s="9" t="s">
        <v>33</v>
      </c>
      <c r="H19" s="9" t="s">
        <v>33</v>
      </c>
      <c r="I19" s="9" t="s">
        <v>106</v>
      </c>
      <c r="J19" s="9" t="s">
        <v>94</v>
      </c>
      <c r="M19" s="9" t="s">
        <v>34</v>
      </c>
      <c r="O19" s="9" t="s">
        <v>33</v>
      </c>
      <c r="P19" s="9" t="s">
        <v>34</v>
      </c>
      <c r="Q19" s="9" t="s">
        <v>108</v>
      </c>
      <c r="R19" s="9" t="s">
        <v>34</v>
      </c>
      <c r="S19" s="9" t="s">
        <v>34</v>
      </c>
      <c r="U19" s="9" t="s">
        <v>34</v>
      </c>
      <c r="X19" s="9" t="s">
        <v>34</v>
      </c>
      <c r="AB19" s="9" t="s">
        <v>33</v>
      </c>
      <c r="AD19" s="9" t="s">
        <v>34</v>
      </c>
      <c r="AH19" s="9" t="s">
        <v>34</v>
      </c>
      <c r="AK19" s="9" t="s">
        <v>34</v>
      </c>
      <c r="AL19" s="9" t="s">
        <v>34</v>
      </c>
      <c r="AM19" s="9" t="s">
        <v>96</v>
      </c>
      <c r="AN19" s="9" t="s">
        <v>97</v>
      </c>
      <c r="AO19" s="9">
        <v>40</v>
      </c>
      <c r="AP19" s="9" t="s">
        <v>98</v>
      </c>
      <c r="AQ19" s="9">
        <v>1</v>
      </c>
      <c r="AR19" s="9" t="s">
        <v>99</v>
      </c>
      <c r="AS19" s="9" t="s">
        <v>154</v>
      </c>
      <c r="AT19" s="9" t="s">
        <v>155</v>
      </c>
    </row>
    <row r="20" spans="1:46">
      <c r="A20" s="9" t="s">
        <v>156</v>
      </c>
      <c r="B20" s="8">
        <v>46205</v>
      </c>
      <c r="C20" s="9" t="s">
        <v>6</v>
      </c>
      <c r="D20" s="9" t="s">
        <v>116</v>
      </c>
      <c r="E20" s="9" t="s">
        <v>31</v>
      </c>
      <c r="F20" s="9" t="s">
        <v>34</v>
      </c>
      <c r="G20" s="9" t="s">
        <v>33</v>
      </c>
      <c r="H20" s="9" t="s">
        <v>33</v>
      </c>
      <c r="I20" s="9" t="s">
        <v>9</v>
      </c>
      <c r="J20" s="9" t="s">
        <v>94</v>
      </c>
      <c r="K20" s="10">
        <v>9148870000</v>
      </c>
      <c r="M20" s="9" t="s">
        <v>39</v>
      </c>
      <c r="O20" s="9" t="s">
        <v>33</v>
      </c>
      <c r="P20" s="9" t="s">
        <v>34</v>
      </c>
      <c r="Q20" s="9" t="s">
        <v>108</v>
      </c>
      <c r="R20" s="9" t="s">
        <v>157</v>
      </c>
      <c r="S20" s="9" t="s">
        <v>34</v>
      </c>
      <c r="U20" s="9" t="s">
        <v>34</v>
      </c>
      <c r="X20" s="9" t="s">
        <v>34</v>
      </c>
      <c r="Y20" s="10">
        <v>999.628</v>
      </c>
      <c r="AB20" s="9" t="s">
        <v>33</v>
      </c>
      <c r="AD20" s="9" t="s">
        <v>34</v>
      </c>
      <c r="AH20" s="9" t="s">
        <v>34</v>
      </c>
      <c r="AK20" s="9" t="s">
        <v>34</v>
      </c>
      <c r="AL20" s="9" t="s">
        <v>34</v>
      </c>
      <c r="AM20" s="9" t="s">
        <v>96</v>
      </c>
      <c r="AN20" s="9" t="s">
        <v>97</v>
      </c>
      <c r="AO20" s="9">
        <v>40</v>
      </c>
      <c r="AP20" s="9" t="s">
        <v>98</v>
      </c>
      <c r="AQ20" s="9">
        <v>1</v>
      </c>
      <c r="AR20" s="9" t="s">
        <v>99</v>
      </c>
      <c r="AS20" s="9" t="s">
        <v>158</v>
      </c>
      <c r="AT20" s="9" t="s">
        <v>159</v>
      </c>
    </row>
    <row r="21" spans="1:46">
      <c r="A21" s="9" t="s">
        <v>160</v>
      </c>
      <c r="B21" s="8">
        <v>46205</v>
      </c>
      <c r="C21" s="9" t="s">
        <v>6</v>
      </c>
      <c r="D21" s="9" t="s">
        <v>116</v>
      </c>
      <c r="E21" s="9" t="s">
        <v>31</v>
      </c>
      <c r="F21" s="9" t="s">
        <v>34</v>
      </c>
      <c r="G21" s="9" t="s">
        <v>33</v>
      </c>
      <c r="H21" s="9" t="s">
        <v>33</v>
      </c>
      <c r="I21" s="9" t="s">
        <v>106</v>
      </c>
      <c r="J21" s="9" t="s">
        <v>94</v>
      </c>
      <c r="M21" s="9" t="s">
        <v>34</v>
      </c>
      <c r="O21" s="9" t="s">
        <v>33</v>
      </c>
      <c r="P21" s="9" t="s">
        <v>34</v>
      </c>
      <c r="Q21" s="9" t="s">
        <v>108</v>
      </c>
      <c r="R21" s="9" t="s">
        <v>161</v>
      </c>
      <c r="S21" s="9" t="s">
        <v>34</v>
      </c>
      <c r="U21" s="9" t="s">
        <v>34</v>
      </c>
      <c r="X21" s="9" t="s">
        <v>34</v>
      </c>
      <c r="AB21" s="9" t="s">
        <v>33</v>
      </c>
      <c r="AD21" s="9" t="s">
        <v>34</v>
      </c>
      <c r="AH21" s="9" t="s">
        <v>34</v>
      </c>
      <c r="AK21" s="9" t="s">
        <v>34</v>
      </c>
      <c r="AL21" s="9" t="s">
        <v>34</v>
      </c>
      <c r="AM21" s="9" t="s">
        <v>96</v>
      </c>
      <c r="AN21" s="9" t="s">
        <v>97</v>
      </c>
      <c r="AO21" s="9">
        <v>40</v>
      </c>
      <c r="AP21" s="9" t="s">
        <v>98</v>
      </c>
      <c r="AQ21" s="9">
        <v>1</v>
      </c>
      <c r="AR21" s="9" t="s">
        <v>99</v>
      </c>
      <c r="AS21" s="9" t="s">
        <v>162</v>
      </c>
      <c r="AT21" s="9" t="s">
        <v>163</v>
      </c>
    </row>
    <row r="22" spans="1:46">
      <c r="A22" s="9" t="s">
        <v>164</v>
      </c>
      <c r="B22" s="8">
        <v>46205</v>
      </c>
      <c r="C22" s="9" t="s">
        <v>6</v>
      </c>
      <c r="D22" s="9" t="s">
        <v>116</v>
      </c>
      <c r="E22" s="9" t="s">
        <v>31</v>
      </c>
      <c r="F22" s="9" t="s">
        <v>34</v>
      </c>
      <c r="G22" s="9" t="s">
        <v>33</v>
      </c>
      <c r="H22" s="9" t="s">
        <v>33</v>
      </c>
      <c r="I22" s="9" t="s">
        <v>106</v>
      </c>
      <c r="J22" s="9" t="s">
        <v>94</v>
      </c>
      <c r="M22" s="9" t="s">
        <v>34</v>
      </c>
      <c r="O22" s="9" t="s">
        <v>33</v>
      </c>
      <c r="P22" s="9" t="s">
        <v>34</v>
      </c>
      <c r="Q22" s="9" t="s">
        <v>108</v>
      </c>
      <c r="R22" s="9" t="s">
        <v>34</v>
      </c>
      <c r="S22" s="9" t="s">
        <v>34</v>
      </c>
      <c r="U22" s="9" t="s">
        <v>34</v>
      </c>
      <c r="X22" s="9" t="s">
        <v>34</v>
      </c>
      <c r="AB22" s="9" t="s">
        <v>33</v>
      </c>
      <c r="AD22" s="9" t="s">
        <v>34</v>
      </c>
      <c r="AH22" s="9" t="s">
        <v>34</v>
      </c>
      <c r="AK22" s="9" t="s">
        <v>34</v>
      </c>
      <c r="AL22" s="9" t="s">
        <v>34</v>
      </c>
      <c r="AM22" s="9" t="s">
        <v>96</v>
      </c>
      <c r="AN22" s="9" t="s">
        <v>97</v>
      </c>
      <c r="AO22" s="9">
        <v>40</v>
      </c>
      <c r="AP22" s="9" t="s">
        <v>98</v>
      </c>
      <c r="AQ22" s="9">
        <v>1</v>
      </c>
      <c r="AR22" s="9" t="s">
        <v>99</v>
      </c>
      <c r="AS22" s="9" t="s">
        <v>165</v>
      </c>
      <c r="AT22" s="9" t="s">
        <v>166</v>
      </c>
    </row>
    <row r="23" spans="1:46">
      <c r="A23" s="9" t="s">
        <v>167</v>
      </c>
      <c r="B23" s="8">
        <v>46205</v>
      </c>
      <c r="C23" s="9" t="s">
        <v>6</v>
      </c>
      <c r="D23" s="9" t="s">
        <v>116</v>
      </c>
      <c r="E23" s="9" t="s">
        <v>31</v>
      </c>
      <c r="F23" s="9" t="s">
        <v>34</v>
      </c>
      <c r="G23" s="9" t="s">
        <v>33</v>
      </c>
      <c r="H23" s="9" t="s">
        <v>33</v>
      </c>
      <c r="I23" s="9" t="s">
        <v>106</v>
      </c>
      <c r="J23" s="9" t="s">
        <v>94</v>
      </c>
      <c r="M23" s="9" t="s">
        <v>34</v>
      </c>
      <c r="O23" s="9" t="s">
        <v>33</v>
      </c>
      <c r="P23" s="9" t="s">
        <v>34</v>
      </c>
      <c r="Q23" s="9" t="s">
        <v>108</v>
      </c>
      <c r="R23" s="9" t="s">
        <v>34</v>
      </c>
      <c r="S23" s="9" t="s">
        <v>34</v>
      </c>
      <c r="U23" s="9" t="s">
        <v>34</v>
      </c>
      <c r="X23" s="9" t="s">
        <v>34</v>
      </c>
      <c r="AB23" s="9" t="s">
        <v>33</v>
      </c>
      <c r="AD23" s="9" t="s">
        <v>34</v>
      </c>
      <c r="AH23" s="9" t="s">
        <v>34</v>
      </c>
      <c r="AK23" s="9" t="s">
        <v>34</v>
      </c>
      <c r="AL23" s="9" t="s">
        <v>34</v>
      </c>
      <c r="AM23" s="9" t="s">
        <v>96</v>
      </c>
      <c r="AN23" s="9" t="s">
        <v>97</v>
      </c>
      <c r="AO23" s="9">
        <v>40</v>
      </c>
      <c r="AP23" s="9" t="s">
        <v>98</v>
      </c>
      <c r="AQ23" s="9">
        <v>1</v>
      </c>
      <c r="AR23" s="9" t="s">
        <v>99</v>
      </c>
      <c r="AS23" s="9" t="s">
        <v>168</v>
      </c>
      <c r="AT23" s="9" t="s">
        <v>169</v>
      </c>
    </row>
    <row r="24" spans="1:46">
      <c r="A24" s="9" t="s">
        <v>170</v>
      </c>
      <c r="B24" s="8">
        <v>46204</v>
      </c>
      <c r="C24" s="9" t="s">
        <v>6</v>
      </c>
      <c r="D24" s="9" t="s">
        <v>116</v>
      </c>
      <c r="E24" s="9" t="s">
        <v>31</v>
      </c>
      <c r="F24" s="9" t="s">
        <v>171</v>
      </c>
      <c r="G24" s="9" t="s">
        <v>33</v>
      </c>
      <c r="H24" s="9" t="s">
        <v>33</v>
      </c>
      <c r="I24" s="9" t="s">
        <v>106</v>
      </c>
      <c r="J24" s="9" t="s">
        <v>94</v>
      </c>
      <c r="M24" s="9" t="s">
        <v>34</v>
      </c>
      <c r="O24" s="9" t="s">
        <v>33</v>
      </c>
      <c r="P24" s="9" t="s">
        <v>34</v>
      </c>
      <c r="Q24" s="9" t="s">
        <v>108</v>
      </c>
      <c r="R24" s="9" t="s">
        <v>34</v>
      </c>
      <c r="S24" s="9" t="s">
        <v>172</v>
      </c>
      <c r="U24" s="9" t="s">
        <v>34</v>
      </c>
      <c r="X24" s="9" t="s">
        <v>34</v>
      </c>
      <c r="AB24" s="9" t="s">
        <v>33</v>
      </c>
      <c r="AD24" s="9" t="s">
        <v>34</v>
      </c>
      <c r="AH24" s="9" t="s">
        <v>34</v>
      </c>
      <c r="AK24" s="9" t="s">
        <v>34</v>
      </c>
      <c r="AL24" s="9" t="s">
        <v>34</v>
      </c>
      <c r="AM24" s="9" t="s">
        <v>96</v>
      </c>
      <c r="AN24" s="9" t="s">
        <v>97</v>
      </c>
      <c r="AO24" s="9">
        <v>60</v>
      </c>
      <c r="AP24" s="9" t="s">
        <v>98</v>
      </c>
      <c r="AQ24" s="9">
        <v>1</v>
      </c>
      <c r="AR24" s="9" t="s">
        <v>99</v>
      </c>
      <c r="AS24" s="9" t="s">
        <v>173</v>
      </c>
      <c r="AT24" s="9" t="s">
        <v>174</v>
      </c>
    </row>
    <row r="25" spans="1:46">
      <c r="A25" s="9" t="s">
        <v>175</v>
      </c>
      <c r="B25" s="8">
        <v>46204</v>
      </c>
      <c r="C25" s="9" t="s">
        <v>6</v>
      </c>
      <c r="D25" s="9" t="s">
        <v>116</v>
      </c>
      <c r="E25" s="9" t="s">
        <v>31</v>
      </c>
      <c r="F25" s="9" t="s">
        <v>34</v>
      </c>
      <c r="G25" s="9" t="s">
        <v>33</v>
      </c>
      <c r="H25" s="9" t="s">
        <v>33</v>
      </c>
      <c r="I25" s="9" t="s">
        <v>9</v>
      </c>
      <c r="J25" s="9" t="s">
        <v>94</v>
      </c>
      <c r="K25" s="10">
        <v>8821850000</v>
      </c>
      <c r="M25" s="9" t="s">
        <v>39</v>
      </c>
      <c r="O25" s="9" t="s">
        <v>33</v>
      </c>
      <c r="P25" s="9" t="s">
        <v>34</v>
      </c>
      <c r="Q25" s="9" t="s">
        <v>108</v>
      </c>
      <c r="R25" s="9" t="s">
        <v>176</v>
      </c>
      <c r="S25" s="9" t="s">
        <v>34</v>
      </c>
      <c r="U25" s="9" t="s">
        <v>34</v>
      </c>
      <c r="X25" s="9" t="s">
        <v>34</v>
      </c>
      <c r="Y25" s="10">
        <v>999.625</v>
      </c>
      <c r="AB25" s="9" t="s">
        <v>33</v>
      </c>
      <c r="AD25" s="9" t="s">
        <v>34</v>
      </c>
      <c r="AH25" s="9" t="s">
        <v>34</v>
      </c>
      <c r="AK25" s="9" t="s">
        <v>34</v>
      </c>
      <c r="AL25" s="9" t="s">
        <v>34</v>
      </c>
      <c r="AM25" s="9" t="s">
        <v>96</v>
      </c>
      <c r="AN25" s="9" t="s">
        <v>97</v>
      </c>
      <c r="AO25" s="9">
        <v>40</v>
      </c>
      <c r="AP25" s="9" t="s">
        <v>98</v>
      </c>
      <c r="AQ25" s="9">
        <v>1</v>
      </c>
      <c r="AR25" s="9" t="s">
        <v>99</v>
      </c>
      <c r="AS25" s="9" t="s">
        <v>177</v>
      </c>
      <c r="AT25" s="9" t="s">
        <v>159</v>
      </c>
    </row>
    <row r="26" spans="1:46">
      <c r="A26" s="9" t="s">
        <v>178</v>
      </c>
      <c r="B26" s="8">
        <v>46204</v>
      </c>
      <c r="C26" s="9" t="s">
        <v>6</v>
      </c>
      <c r="D26" s="9" t="s">
        <v>116</v>
      </c>
      <c r="E26" s="9" t="s">
        <v>31</v>
      </c>
      <c r="F26" s="9" t="s">
        <v>34</v>
      </c>
      <c r="G26" s="9" t="s">
        <v>33</v>
      </c>
      <c r="H26" s="9" t="s">
        <v>33</v>
      </c>
      <c r="I26" s="9" t="s">
        <v>9</v>
      </c>
      <c r="J26" s="9" t="s">
        <v>94</v>
      </c>
      <c r="M26" s="9" t="s">
        <v>34</v>
      </c>
      <c r="O26" s="9" t="s">
        <v>33</v>
      </c>
      <c r="P26" s="9" t="s">
        <v>34</v>
      </c>
      <c r="Q26" s="9" t="s">
        <v>108</v>
      </c>
      <c r="R26" s="9" t="s">
        <v>179</v>
      </c>
      <c r="S26" s="9" t="s">
        <v>34</v>
      </c>
      <c r="U26" s="9" t="s">
        <v>34</v>
      </c>
      <c r="X26" s="9" t="s">
        <v>34</v>
      </c>
      <c r="AB26" s="9" t="s">
        <v>33</v>
      </c>
      <c r="AD26" s="9" t="s">
        <v>34</v>
      </c>
      <c r="AH26" s="9" t="s">
        <v>34</v>
      </c>
      <c r="AK26" s="9" t="s">
        <v>34</v>
      </c>
      <c r="AL26" s="9" t="s">
        <v>34</v>
      </c>
      <c r="AM26" s="9" t="s">
        <v>96</v>
      </c>
      <c r="AN26" s="9" t="s">
        <v>97</v>
      </c>
      <c r="AO26" s="9">
        <v>40</v>
      </c>
      <c r="AP26" s="9" t="s">
        <v>98</v>
      </c>
      <c r="AQ26" s="9">
        <v>1</v>
      </c>
      <c r="AR26" s="9" t="s">
        <v>99</v>
      </c>
      <c r="AS26" s="9" t="s">
        <v>180</v>
      </c>
      <c r="AT26" s="9" t="s">
        <v>181</v>
      </c>
    </row>
    <row r="27" spans="1:46">
      <c r="A27" s="9" t="s">
        <v>182</v>
      </c>
      <c r="B27" s="8">
        <v>46204</v>
      </c>
      <c r="C27" s="9" t="s">
        <v>6</v>
      </c>
      <c r="D27" s="9" t="s">
        <v>116</v>
      </c>
      <c r="E27" s="9" t="s">
        <v>31</v>
      </c>
      <c r="F27" s="9" t="s">
        <v>34</v>
      </c>
      <c r="G27" s="9" t="s">
        <v>33</v>
      </c>
      <c r="H27" s="9" t="s">
        <v>33</v>
      </c>
      <c r="I27" s="9" t="s">
        <v>106</v>
      </c>
      <c r="J27" s="9" t="s">
        <v>94</v>
      </c>
      <c r="M27" s="9" t="s">
        <v>34</v>
      </c>
      <c r="O27" s="9" t="s">
        <v>33</v>
      </c>
      <c r="P27" s="9" t="s">
        <v>34</v>
      </c>
      <c r="Q27" s="9" t="s">
        <v>108</v>
      </c>
      <c r="R27" s="9" t="s">
        <v>34</v>
      </c>
      <c r="S27" s="9" t="s">
        <v>34</v>
      </c>
      <c r="U27" s="9" t="s">
        <v>34</v>
      </c>
      <c r="X27" s="9" t="s">
        <v>34</v>
      </c>
      <c r="AB27" s="9" t="s">
        <v>33</v>
      </c>
      <c r="AD27" s="9" t="s">
        <v>34</v>
      </c>
      <c r="AH27" s="9" t="s">
        <v>34</v>
      </c>
      <c r="AK27" s="9" t="s">
        <v>34</v>
      </c>
      <c r="AL27" s="9" t="s">
        <v>34</v>
      </c>
      <c r="AM27" s="9" t="s">
        <v>96</v>
      </c>
      <c r="AN27" s="9" t="s">
        <v>97</v>
      </c>
      <c r="AO27" s="9">
        <v>40</v>
      </c>
      <c r="AP27" s="9" t="s">
        <v>98</v>
      </c>
      <c r="AQ27" s="9">
        <v>1</v>
      </c>
      <c r="AR27" s="9" t="s">
        <v>99</v>
      </c>
      <c r="AS27" s="9" t="s">
        <v>183</v>
      </c>
      <c r="AT27" s="9" t="s">
        <v>169</v>
      </c>
    </row>
    <row r="28" spans="1:46">
      <c r="A28" s="9" t="s">
        <v>184</v>
      </c>
      <c r="B28" s="8">
        <v>46204</v>
      </c>
      <c r="C28" s="9" t="s">
        <v>6</v>
      </c>
      <c r="D28" s="9" t="s">
        <v>116</v>
      </c>
      <c r="E28" s="9" t="s">
        <v>31</v>
      </c>
      <c r="F28" s="9" t="s">
        <v>34</v>
      </c>
      <c r="G28" s="9" t="s">
        <v>33</v>
      </c>
      <c r="H28" s="9" t="s">
        <v>33</v>
      </c>
      <c r="I28" s="9" t="s">
        <v>9</v>
      </c>
      <c r="J28" s="9" t="s">
        <v>94</v>
      </c>
      <c r="M28" s="9" t="s">
        <v>34</v>
      </c>
      <c r="O28" s="9" t="s">
        <v>33</v>
      </c>
      <c r="P28" s="9" t="s">
        <v>34</v>
      </c>
      <c r="Q28" s="9" t="s">
        <v>108</v>
      </c>
      <c r="R28" s="9" t="s">
        <v>185</v>
      </c>
      <c r="S28" s="9" t="s">
        <v>186</v>
      </c>
      <c r="U28" s="9" t="s">
        <v>34</v>
      </c>
      <c r="X28" s="9" t="s">
        <v>34</v>
      </c>
      <c r="AB28" s="9" t="s">
        <v>33</v>
      </c>
      <c r="AD28" s="9" t="s">
        <v>34</v>
      </c>
      <c r="AH28" s="9" t="s">
        <v>34</v>
      </c>
      <c r="AK28" s="9" t="s">
        <v>34</v>
      </c>
      <c r="AL28" s="9" t="s">
        <v>34</v>
      </c>
      <c r="AM28" s="9" t="s">
        <v>96</v>
      </c>
      <c r="AN28" s="9" t="s">
        <v>97</v>
      </c>
      <c r="AO28" s="9">
        <v>40</v>
      </c>
      <c r="AP28" s="9" t="s">
        <v>98</v>
      </c>
      <c r="AQ28" s="9">
        <v>1</v>
      </c>
      <c r="AR28" s="9" t="s">
        <v>99</v>
      </c>
      <c r="AS28" s="9" t="s">
        <v>187</v>
      </c>
      <c r="AT28" s="9" t="s">
        <v>188</v>
      </c>
    </row>
    <row r="29" spans="1:46">
      <c r="A29" s="9" t="s">
        <v>189</v>
      </c>
      <c r="B29" s="8">
        <v>46204</v>
      </c>
      <c r="C29" s="9" t="s">
        <v>6</v>
      </c>
      <c r="D29" s="9" t="s">
        <v>116</v>
      </c>
      <c r="E29" s="9" t="s">
        <v>31</v>
      </c>
      <c r="F29" s="9" t="s">
        <v>34</v>
      </c>
      <c r="G29" s="9" t="s">
        <v>33</v>
      </c>
      <c r="H29" s="9" t="s">
        <v>33</v>
      </c>
      <c r="I29" s="9" t="s">
        <v>9</v>
      </c>
      <c r="J29" s="9" t="s">
        <v>94</v>
      </c>
      <c r="M29" s="9" t="s">
        <v>34</v>
      </c>
      <c r="O29" s="9" t="s">
        <v>33</v>
      </c>
      <c r="P29" s="9" t="s">
        <v>34</v>
      </c>
      <c r="Q29" s="9" t="s">
        <v>108</v>
      </c>
      <c r="R29" s="9" t="s">
        <v>190</v>
      </c>
      <c r="S29" s="9" t="s">
        <v>191</v>
      </c>
      <c r="U29" s="9" t="s">
        <v>34</v>
      </c>
      <c r="X29" s="9" t="s">
        <v>34</v>
      </c>
      <c r="AB29" s="9" t="s">
        <v>33</v>
      </c>
      <c r="AD29" s="9" t="s">
        <v>34</v>
      </c>
      <c r="AH29" s="9" t="s">
        <v>34</v>
      </c>
      <c r="AK29" s="9" t="s">
        <v>34</v>
      </c>
      <c r="AL29" s="9" t="s">
        <v>34</v>
      </c>
      <c r="AM29" s="9" t="s">
        <v>96</v>
      </c>
      <c r="AN29" s="9" t="s">
        <v>97</v>
      </c>
      <c r="AO29" s="9">
        <v>40</v>
      </c>
      <c r="AP29" s="9" t="s">
        <v>98</v>
      </c>
      <c r="AQ29" s="9">
        <v>1</v>
      </c>
      <c r="AR29" s="9" t="s">
        <v>99</v>
      </c>
      <c r="AS29" s="9" t="s">
        <v>192</v>
      </c>
      <c r="AT29" s="9" t="s">
        <v>193</v>
      </c>
    </row>
    <row r="30" spans="1:46">
      <c r="A30" s="9" t="s">
        <v>194</v>
      </c>
      <c r="B30" s="8">
        <v>46204</v>
      </c>
      <c r="C30" s="9" t="s">
        <v>4</v>
      </c>
      <c r="D30" s="9" t="s">
        <v>103</v>
      </c>
      <c r="E30" s="9" t="s">
        <v>104</v>
      </c>
      <c r="F30" s="9" t="s">
        <v>34</v>
      </c>
      <c r="G30" s="9" t="s">
        <v>34</v>
      </c>
      <c r="H30" s="9" t="s">
        <v>34</v>
      </c>
      <c r="I30" s="9" t="s">
        <v>106</v>
      </c>
      <c r="J30" s="9" t="s">
        <v>94</v>
      </c>
      <c r="K30" s="10">
        <v>300000000000</v>
      </c>
      <c r="M30" s="9" t="s">
        <v>39</v>
      </c>
      <c r="O30" s="9" t="s">
        <v>34</v>
      </c>
      <c r="P30" s="9" t="s">
        <v>34</v>
      </c>
      <c r="Q30" s="9" t="s">
        <v>129</v>
      </c>
      <c r="R30" s="9" t="s">
        <v>33</v>
      </c>
      <c r="S30" s="9" t="s">
        <v>33</v>
      </c>
      <c r="U30" s="9" t="s">
        <v>33</v>
      </c>
      <c r="X30" s="9" t="s">
        <v>33</v>
      </c>
      <c r="AB30" s="9" t="s">
        <v>33</v>
      </c>
      <c r="AD30" s="9" t="s">
        <v>34</v>
      </c>
      <c r="AH30" s="9" t="s">
        <v>34</v>
      </c>
      <c r="AK30" s="9" t="s">
        <v>34</v>
      </c>
      <c r="AL30" s="9" t="s">
        <v>34</v>
      </c>
      <c r="AM30" s="9" t="s">
        <v>96</v>
      </c>
      <c r="AN30" s="9" t="s">
        <v>130</v>
      </c>
      <c r="AO30" s="9">
        <v>0</v>
      </c>
      <c r="AP30" s="9" t="s">
        <v>109</v>
      </c>
      <c r="AQ30" s="9">
        <v>4</v>
      </c>
      <c r="AR30" s="9" t="s">
        <v>195</v>
      </c>
      <c r="AS30" s="9" t="s">
        <v>196</v>
      </c>
      <c r="AT30" s="9" t="s">
        <v>197</v>
      </c>
    </row>
    <row r="31" spans="1:46">
      <c r="A31" s="9" t="s">
        <v>198</v>
      </c>
      <c r="B31" s="8">
        <v>46204</v>
      </c>
      <c r="C31" s="9" t="s">
        <v>4</v>
      </c>
      <c r="D31" s="9" t="s">
        <v>103</v>
      </c>
      <c r="E31" s="9" t="s">
        <v>104</v>
      </c>
      <c r="F31" s="9" t="s">
        <v>34</v>
      </c>
      <c r="G31" s="9" t="s">
        <v>34</v>
      </c>
      <c r="H31" s="9" t="s">
        <v>34</v>
      </c>
      <c r="I31" s="9" t="s">
        <v>106</v>
      </c>
      <c r="J31" s="9" t="s">
        <v>34</v>
      </c>
      <c r="M31" s="9" t="s">
        <v>34</v>
      </c>
      <c r="O31" s="9" t="s">
        <v>34</v>
      </c>
      <c r="P31" s="9" t="s">
        <v>34</v>
      </c>
      <c r="Q31" s="9" t="s">
        <v>129</v>
      </c>
      <c r="R31" s="9" t="s">
        <v>33</v>
      </c>
      <c r="S31" s="9" t="s">
        <v>33</v>
      </c>
      <c r="U31" s="9" t="s">
        <v>33</v>
      </c>
      <c r="X31" s="9" t="s">
        <v>33</v>
      </c>
      <c r="AB31" s="9" t="s">
        <v>33</v>
      </c>
      <c r="AD31" s="9" t="s">
        <v>34</v>
      </c>
      <c r="AH31" s="9" t="s">
        <v>34</v>
      </c>
      <c r="AK31" s="9" t="s">
        <v>34</v>
      </c>
      <c r="AL31" s="9" t="s">
        <v>34</v>
      </c>
      <c r="AM31" s="9" t="s">
        <v>96</v>
      </c>
      <c r="AN31" s="9" t="s">
        <v>130</v>
      </c>
      <c r="AO31" s="9">
        <v>0</v>
      </c>
      <c r="AP31" s="9" t="s">
        <v>109</v>
      </c>
      <c r="AQ31" s="9">
        <v>1</v>
      </c>
      <c r="AR31" s="9" t="s">
        <v>199</v>
      </c>
      <c r="AS31" s="9" t="s">
        <v>200</v>
      </c>
      <c r="AT31" s="9" t="s">
        <v>201</v>
      </c>
    </row>
    <row r="32" spans="1:46">
      <c r="A32" s="9" t="s">
        <v>202</v>
      </c>
      <c r="B32" s="8">
        <v>46203</v>
      </c>
      <c r="C32" s="9" t="s">
        <v>6</v>
      </c>
      <c r="D32" s="9" t="s">
        <v>116</v>
      </c>
      <c r="E32" s="9" t="s">
        <v>31</v>
      </c>
      <c r="F32" s="9" t="s">
        <v>34</v>
      </c>
      <c r="G32" s="9" t="s">
        <v>33</v>
      </c>
      <c r="H32" s="9" t="s">
        <v>33</v>
      </c>
      <c r="I32" s="9" t="s">
        <v>9</v>
      </c>
      <c r="J32" s="9" t="s">
        <v>94</v>
      </c>
      <c r="M32" s="9" t="s">
        <v>34</v>
      </c>
      <c r="O32" s="9" t="s">
        <v>33</v>
      </c>
      <c r="P32" s="9" t="s">
        <v>34</v>
      </c>
      <c r="Q32" s="9" t="s">
        <v>108</v>
      </c>
      <c r="R32" s="9" t="s">
        <v>34</v>
      </c>
      <c r="S32" s="9" t="s">
        <v>34</v>
      </c>
      <c r="U32" s="9" t="s">
        <v>34</v>
      </c>
      <c r="X32" s="9" t="s">
        <v>34</v>
      </c>
      <c r="AB32" s="9" t="s">
        <v>33</v>
      </c>
      <c r="AD32" s="9" t="s">
        <v>34</v>
      </c>
      <c r="AH32" s="9" t="s">
        <v>34</v>
      </c>
      <c r="AK32" s="9" t="s">
        <v>34</v>
      </c>
      <c r="AL32" s="9" t="s">
        <v>34</v>
      </c>
      <c r="AM32" s="9" t="s">
        <v>96</v>
      </c>
      <c r="AN32" s="9" t="s">
        <v>97</v>
      </c>
      <c r="AO32" s="9">
        <v>40</v>
      </c>
      <c r="AP32" s="9" t="s">
        <v>98</v>
      </c>
      <c r="AQ32" s="9">
        <v>1</v>
      </c>
      <c r="AR32" s="9" t="s">
        <v>99</v>
      </c>
      <c r="AS32" s="9" t="s">
        <v>203</v>
      </c>
      <c r="AT32" s="9" t="s">
        <v>204</v>
      </c>
    </row>
    <row r="33" spans="1:46">
      <c r="A33" s="9" t="s">
        <v>205</v>
      </c>
      <c r="B33" s="8">
        <v>46203</v>
      </c>
      <c r="C33" s="9" t="s">
        <v>6</v>
      </c>
      <c r="D33" s="9" t="s">
        <v>116</v>
      </c>
      <c r="E33" s="9" t="s">
        <v>31</v>
      </c>
      <c r="F33" s="9" t="s">
        <v>34</v>
      </c>
      <c r="G33" s="9" t="s">
        <v>33</v>
      </c>
      <c r="H33" s="9" t="s">
        <v>33</v>
      </c>
      <c r="I33" s="9" t="s">
        <v>9</v>
      </c>
      <c r="J33" s="9" t="s">
        <v>94</v>
      </c>
      <c r="M33" s="9" t="s">
        <v>34</v>
      </c>
      <c r="O33" s="9" t="s">
        <v>33</v>
      </c>
      <c r="P33" s="9" t="s">
        <v>34</v>
      </c>
      <c r="Q33" s="9" t="s">
        <v>108</v>
      </c>
      <c r="R33" s="9" t="s">
        <v>206</v>
      </c>
      <c r="S33" s="9" t="s">
        <v>207</v>
      </c>
      <c r="U33" s="9" t="s">
        <v>34</v>
      </c>
      <c r="X33" s="9" t="s">
        <v>34</v>
      </c>
      <c r="AB33" s="9" t="s">
        <v>33</v>
      </c>
      <c r="AD33" s="9" t="s">
        <v>34</v>
      </c>
      <c r="AH33" s="9" t="s">
        <v>34</v>
      </c>
      <c r="AK33" s="9" t="s">
        <v>34</v>
      </c>
      <c r="AL33" s="9" t="s">
        <v>34</v>
      </c>
      <c r="AM33" s="9" t="s">
        <v>96</v>
      </c>
      <c r="AN33" s="9" t="s">
        <v>97</v>
      </c>
      <c r="AO33" s="9">
        <v>40</v>
      </c>
      <c r="AP33" s="9" t="s">
        <v>98</v>
      </c>
      <c r="AQ33" s="9">
        <v>1</v>
      </c>
      <c r="AR33" s="9" t="s">
        <v>99</v>
      </c>
      <c r="AS33" s="9" t="s">
        <v>208</v>
      </c>
      <c r="AT33" s="9" t="s">
        <v>209</v>
      </c>
    </row>
    <row r="34" spans="1:46">
      <c r="A34" s="9" t="s">
        <v>210</v>
      </c>
      <c r="B34" s="8">
        <v>46203</v>
      </c>
      <c r="C34" s="9" t="s">
        <v>6</v>
      </c>
      <c r="D34" s="9" t="s">
        <v>116</v>
      </c>
      <c r="E34" s="9" t="s">
        <v>31</v>
      </c>
      <c r="F34" s="9" t="s">
        <v>34</v>
      </c>
      <c r="G34" s="9" t="s">
        <v>33</v>
      </c>
      <c r="H34" s="9" t="s">
        <v>33</v>
      </c>
      <c r="I34" s="9" t="s">
        <v>9</v>
      </c>
      <c r="J34" s="9" t="s">
        <v>94</v>
      </c>
      <c r="M34" s="9" t="s">
        <v>34</v>
      </c>
      <c r="O34" s="9" t="s">
        <v>33</v>
      </c>
      <c r="P34" s="9" t="s">
        <v>34</v>
      </c>
      <c r="Q34" s="9" t="s">
        <v>108</v>
      </c>
      <c r="R34" s="9" t="s">
        <v>211</v>
      </c>
      <c r="S34" s="9" t="s">
        <v>212</v>
      </c>
      <c r="U34" s="9" t="s">
        <v>34</v>
      </c>
      <c r="X34" s="9" t="s">
        <v>34</v>
      </c>
      <c r="AB34" s="9" t="s">
        <v>33</v>
      </c>
      <c r="AD34" s="9" t="s">
        <v>34</v>
      </c>
      <c r="AH34" s="9" t="s">
        <v>34</v>
      </c>
      <c r="AK34" s="9" t="s">
        <v>34</v>
      </c>
      <c r="AL34" s="9" t="s">
        <v>34</v>
      </c>
      <c r="AM34" s="9" t="s">
        <v>96</v>
      </c>
      <c r="AN34" s="9" t="s">
        <v>97</v>
      </c>
      <c r="AO34" s="9">
        <v>40</v>
      </c>
      <c r="AP34" s="9" t="s">
        <v>98</v>
      </c>
      <c r="AQ34" s="9">
        <v>1</v>
      </c>
      <c r="AR34" s="9" t="s">
        <v>99</v>
      </c>
      <c r="AS34" s="9" t="s">
        <v>213</v>
      </c>
      <c r="AT34" s="9" t="s">
        <v>214</v>
      </c>
    </row>
    <row r="35" spans="1:46">
      <c r="A35" s="9" t="s">
        <v>215</v>
      </c>
      <c r="B35" s="8">
        <v>46203</v>
      </c>
      <c r="C35" s="9" t="s">
        <v>6</v>
      </c>
      <c r="D35" s="9" t="s">
        <v>116</v>
      </c>
      <c r="E35" s="9" t="s">
        <v>31</v>
      </c>
      <c r="F35" s="9" t="s">
        <v>34</v>
      </c>
      <c r="G35" s="9" t="s">
        <v>33</v>
      </c>
      <c r="H35" s="9" t="s">
        <v>33</v>
      </c>
      <c r="I35" s="9" t="s">
        <v>9</v>
      </c>
      <c r="J35" s="9" t="s">
        <v>94</v>
      </c>
      <c r="K35" s="10">
        <v>8520970000</v>
      </c>
      <c r="M35" s="9" t="s">
        <v>39</v>
      </c>
      <c r="O35" s="9" t="s">
        <v>33</v>
      </c>
      <c r="P35" s="9" t="s">
        <v>34</v>
      </c>
      <c r="Q35" s="9" t="s">
        <v>108</v>
      </c>
      <c r="R35" s="9" t="s">
        <v>216</v>
      </c>
      <c r="S35" s="9" t="s">
        <v>34</v>
      </c>
      <c r="U35" s="9" t="s">
        <v>34</v>
      </c>
      <c r="X35" s="9" t="s">
        <v>34</v>
      </c>
      <c r="Y35" s="10">
        <v>999.627</v>
      </c>
      <c r="AB35" s="9" t="s">
        <v>33</v>
      </c>
      <c r="AD35" s="9" t="s">
        <v>34</v>
      </c>
      <c r="AH35" s="9" t="s">
        <v>34</v>
      </c>
      <c r="AK35" s="9" t="s">
        <v>34</v>
      </c>
      <c r="AL35" s="9" t="s">
        <v>34</v>
      </c>
      <c r="AM35" s="9" t="s">
        <v>96</v>
      </c>
      <c r="AN35" s="9" t="s">
        <v>97</v>
      </c>
      <c r="AO35" s="9">
        <v>40</v>
      </c>
      <c r="AP35" s="9" t="s">
        <v>98</v>
      </c>
      <c r="AQ35" s="9">
        <v>1</v>
      </c>
      <c r="AR35" s="9" t="s">
        <v>99</v>
      </c>
      <c r="AS35" s="9" t="s">
        <v>217</v>
      </c>
      <c r="AT35" s="9" t="s">
        <v>159</v>
      </c>
    </row>
    <row r="36" spans="1:46">
      <c r="A36" s="9" t="s">
        <v>218</v>
      </c>
      <c r="B36" s="8">
        <v>46203</v>
      </c>
      <c r="C36" s="9" t="s">
        <v>6</v>
      </c>
      <c r="D36" s="9" t="s">
        <v>103</v>
      </c>
      <c r="E36" s="9" t="s">
        <v>104</v>
      </c>
      <c r="F36" s="9" t="s">
        <v>42</v>
      </c>
      <c r="G36" s="9" t="s">
        <v>33</v>
      </c>
      <c r="H36" s="9" t="s">
        <v>33</v>
      </c>
      <c r="I36" s="9" t="s">
        <v>9</v>
      </c>
      <c r="J36" s="9" t="s">
        <v>34</v>
      </c>
      <c r="M36" s="9" t="s">
        <v>34</v>
      </c>
      <c r="O36" s="9" t="s">
        <v>33</v>
      </c>
      <c r="P36" s="9" t="s">
        <v>34</v>
      </c>
      <c r="Q36" s="9" t="s">
        <v>108</v>
      </c>
      <c r="R36" s="9" t="s">
        <v>34</v>
      </c>
      <c r="S36" s="9" t="s">
        <v>34</v>
      </c>
      <c r="U36" s="9" t="s">
        <v>34</v>
      </c>
      <c r="X36" s="9" t="s">
        <v>34</v>
      </c>
      <c r="AB36" s="9" t="s">
        <v>33</v>
      </c>
      <c r="AD36" s="9" t="s">
        <v>34</v>
      </c>
      <c r="AH36" s="9" t="s">
        <v>34</v>
      </c>
      <c r="AK36" s="9" t="s">
        <v>34</v>
      </c>
      <c r="AL36" s="9" t="s">
        <v>34</v>
      </c>
      <c r="AM36" s="9" t="s">
        <v>96</v>
      </c>
      <c r="AN36" s="9" t="s">
        <v>97</v>
      </c>
      <c r="AO36" s="9">
        <v>75</v>
      </c>
      <c r="AP36" s="9" t="s">
        <v>109</v>
      </c>
      <c r="AQ36" s="9">
        <v>1</v>
      </c>
      <c r="AR36" s="9" t="s">
        <v>219</v>
      </c>
      <c r="AS36" s="9" t="s">
        <v>220</v>
      </c>
      <c r="AT36" s="9" t="s">
        <v>221</v>
      </c>
    </row>
    <row r="37" spans="1:46">
      <c r="A37" s="9" t="s">
        <v>222</v>
      </c>
      <c r="B37" s="8">
        <v>46203</v>
      </c>
      <c r="C37" s="9" t="s">
        <v>6</v>
      </c>
      <c r="D37" s="9" t="s">
        <v>103</v>
      </c>
      <c r="E37" s="9" t="s">
        <v>41</v>
      </c>
      <c r="F37" s="9" t="s">
        <v>223</v>
      </c>
      <c r="G37" s="9" t="s">
        <v>33</v>
      </c>
      <c r="H37" s="9" t="s">
        <v>33</v>
      </c>
      <c r="I37" s="9" t="s">
        <v>106</v>
      </c>
      <c r="J37" s="9" t="s">
        <v>34</v>
      </c>
      <c r="M37" s="9" t="s">
        <v>34</v>
      </c>
      <c r="O37" s="9" t="s">
        <v>33</v>
      </c>
      <c r="P37" s="9" t="s">
        <v>34</v>
      </c>
      <c r="Q37" s="9" t="s">
        <v>108</v>
      </c>
      <c r="R37" s="9" t="s">
        <v>34</v>
      </c>
      <c r="S37" s="9" t="s">
        <v>34</v>
      </c>
      <c r="U37" s="9" t="s">
        <v>34</v>
      </c>
      <c r="X37" s="9" t="s">
        <v>34</v>
      </c>
      <c r="AB37" s="9" t="s">
        <v>33</v>
      </c>
      <c r="AD37" s="9" t="s">
        <v>34</v>
      </c>
      <c r="AH37" s="9" t="s">
        <v>34</v>
      </c>
      <c r="AK37" s="9" t="s">
        <v>34</v>
      </c>
      <c r="AL37" s="9" t="s">
        <v>34</v>
      </c>
      <c r="AM37" s="9" t="s">
        <v>96</v>
      </c>
      <c r="AN37" s="9" t="s">
        <v>97</v>
      </c>
      <c r="AO37" s="9">
        <v>75</v>
      </c>
      <c r="AP37" s="9" t="s">
        <v>109</v>
      </c>
      <c r="AQ37" s="9">
        <v>1</v>
      </c>
      <c r="AR37" s="9" t="s">
        <v>224</v>
      </c>
      <c r="AS37" s="9" t="s">
        <v>225</v>
      </c>
      <c r="AT37" s="9" t="s">
        <v>226</v>
      </c>
    </row>
    <row r="38" spans="1:46">
      <c r="A38" s="9" t="s">
        <v>227</v>
      </c>
      <c r="B38" s="8">
        <v>46202</v>
      </c>
      <c r="C38" s="9" t="s">
        <v>6</v>
      </c>
      <c r="D38" s="9" t="s">
        <v>116</v>
      </c>
      <c r="E38" s="9" t="s">
        <v>31</v>
      </c>
      <c r="F38" s="9" t="s">
        <v>34</v>
      </c>
      <c r="G38" s="9" t="s">
        <v>33</v>
      </c>
      <c r="H38" s="9" t="s">
        <v>33</v>
      </c>
      <c r="I38" s="9" t="s">
        <v>9</v>
      </c>
      <c r="J38" s="9" t="s">
        <v>94</v>
      </c>
      <c r="K38" s="10">
        <v>3930247000</v>
      </c>
      <c r="M38" s="9" t="s">
        <v>39</v>
      </c>
      <c r="O38" s="9" t="s">
        <v>33</v>
      </c>
      <c r="P38" s="9" t="s">
        <v>34</v>
      </c>
      <c r="Q38" s="9" t="s">
        <v>108</v>
      </c>
      <c r="R38" s="9" t="s">
        <v>211</v>
      </c>
      <c r="S38" s="9" t="s">
        <v>34</v>
      </c>
      <c r="U38" s="9" t="s">
        <v>34</v>
      </c>
      <c r="X38" s="9" t="s">
        <v>34</v>
      </c>
      <c r="Y38" s="10">
        <v>560</v>
      </c>
      <c r="AB38" s="9" t="s">
        <v>33</v>
      </c>
      <c r="AD38" s="9" t="s">
        <v>34</v>
      </c>
      <c r="AH38" s="9" t="s">
        <v>34</v>
      </c>
      <c r="AK38" s="9" t="s">
        <v>34</v>
      </c>
      <c r="AL38" s="9" t="s">
        <v>34</v>
      </c>
      <c r="AM38" s="9" t="s">
        <v>96</v>
      </c>
      <c r="AN38" s="9" t="s">
        <v>97</v>
      </c>
      <c r="AO38" s="9">
        <v>40</v>
      </c>
      <c r="AP38" s="9" t="s">
        <v>98</v>
      </c>
      <c r="AQ38" s="9">
        <v>1</v>
      </c>
      <c r="AR38" s="9" t="s">
        <v>99</v>
      </c>
      <c r="AS38" s="9" t="s">
        <v>228</v>
      </c>
      <c r="AT38" s="9" t="s">
        <v>159</v>
      </c>
    </row>
    <row r="39" spans="1:46">
      <c r="A39" s="9" t="s">
        <v>229</v>
      </c>
      <c r="B39" s="8">
        <v>46202</v>
      </c>
      <c r="C39" s="9" t="s">
        <v>6</v>
      </c>
      <c r="D39" s="9" t="s">
        <v>116</v>
      </c>
      <c r="E39" s="9" t="s">
        <v>31</v>
      </c>
      <c r="F39" s="9" t="s">
        <v>34</v>
      </c>
      <c r="G39" s="9" t="s">
        <v>33</v>
      </c>
      <c r="H39" s="9" t="s">
        <v>33</v>
      </c>
      <c r="I39" s="9" t="s">
        <v>106</v>
      </c>
      <c r="J39" s="9" t="s">
        <v>94</v>
      </c>
      <c r="M39" s="9" t="s">
        <v>34</v>
      </c>
      <c r="O39" s="9" t="s">
        <v>33</v>
      </c>
      <c r="P39" s="9" t="s">
        <v>34</v>
      </c>
      <c r="Q39" s="9" t="s">
        <v>108</v>
      </c>
      <c r="R39" s="9" t="s">
        <v>230</v>
      </c>
      <c r="S39" s="9" t="s">
        <v>34</v>
      </c>
      <c r="U39" s="9" t="s">
        <v>34</v>
      </c>
      <c r="X39" s="9" t="s">
        <v>34</v>
      </c>
      <c r="AB39" s="9" t="s">
        <v>33</v>
      </c>
      <c r="AD39" s="9" t="s">
        <v>34</v>
      </c>
      <c r="AH39" s="9" t="s">
        <v>34</v>
      </c>
      <c r="AK39" s="9" t="s">
        <v>34</v>
      </c>
      <c r="AL39" s="9" t="s">
        <v>34</v>
      </c>
      <c r="AM39" s="9" t="s">
        <v>96</v>
      </c>
      <c r="AN39" s="9" t="s">
        <v>97</v>
      </c>
      <c r="AO39" s="9">
        <v>40</v>
      </c>
      <c r="AP39" s="9" t="s">
        <v>98</v>
      </c>
      <c r="AQ39" s="9">
        <v>1</v>
      </c>
      <c r="AR39" s="9" t="s">
        <v>99</v>
      </c>
      <c r="AS39" s="9" t="s">
        <v>231</v>
      </c>
      <c r="AT39" s="9" t="s">
        <v>181</v>
      </c>
    </row>
    <row r="40" spans="1:46">
      <c r="A40" s="9" t="s">
        <v>232</v>
      </c>
      <c r="B40" s="8">
        <v>46202</v>
      </c>
      <c r="C40" s="9" t="s">
        <v>6</v>
      </c>
      <c r="D40" s="9" t="s">
        <v>116</v>
      </c>
      <c r="E40" s="9" t="s">
        <v>31</v>
      </c>
      <c r="F40" s="9" t="s">
        <v>34</v>
      </c>
      <c r="G40" s="9" t="s">
        <v>33</v>
      </c>
      <c r="H40" s="9" t="s">
        <v>33</v>
      </c>
      <c r="I40" s="9" t="s">
        <v>106</v>
      </c>
      <c r="J40" s="9" t="s">
        <v>94</v>
      </c>
      <c r="M40" s="9" t="s">
        <v>34</v>
      </c>
      <c r="O40" s="9" t="s">
        <v>33</v>
      </c>
      <c r="P40" s="9" t="s">
        <v>34</v>
      </c>
      <c r="Q40" s="9" t="s">
        <v>108</v>
      </c>
      <c r="R40" s="9" t="s">
        <v>233</v>
      </c>
      <c r="S40" s="9" t="s">
        <v>34</v>
      </c>
      <c r="U40" s="9" t="s">
        <v>34</v>
      </c>
      <c r="X40" s="9" t="s">
        <v>34</v>
      </c>
      <c r="AB40" s="9" t="s">
        <v>33</v>
      </c>
      <c r="AD40" s="9" t="s">
        <v>34</v>
      </c>
      <c r="AH40" s="9" t="s">
        <v>34</v>
      </c>
      <c r="AK40" s="9" t="s">
        <v>34</v>
      </c>
      <c r="AL40" s="9" t="s">
        <v>34</v>
      </c>
      <c r="AM40" s="9" t="s">
        <v>96</v>
      </c>
      <c r="AN40" s="9" t="s">
        <v>97</v>
      </c>
      <c r="AO40" s="9">
        <v>40</v>
      </c>
      <c r="AP40" s="9" t="s">
        <v>98</v>
      </c>
      <c r="AQ40" s="9">
        <v>1</v>
      </c>
      <c r="AR40" s="9" t="s">
        <v>99</v>
      </c>
      <c r="AS40" s="9" t="s">
        <v>234</v>
      </c>
      <c r="AT40" s="9" t="s">
        <v>188</v>
      </c>
    </row>
    <row r="41" spans="1:46">
      <c r="A41" s="9" t="s">
        <v>235</v>
      </c>
      <c r="B41" s="8">
        <v>46202</v>
      </c>
      <c r="C41" s="9" t="s">
        <v>6</v>
      </c>
      <c r="D41" s="9" t="s">
        <v>116</v>
      </c>
      <c r="E41" s="9" t="s">
        <v>31</v>
      </c>
      <c r="F41" s="9" t="s">
        <v>236</v>
      </c>
      <c r="G41" s="9" t="s">
        <v>33</v>
      </c>
      <c r="H41" s="9" t="s">
        <v>33</v>
      </c>
      <c r="I41" s="9" t="s">
        <v>106</v>
      </c>
      <c r="J41" s="9" t="s">
        <v>94</v>
      </c>
      <c r="M41" s="9" t="s">
        <v>34</v>
      </c>
      <c r="O41" s="9" t="s">
        <v>33</v>
      </c>
      <c r="P41" s="9" t="s">
        <v>34</v>
      </c>
      <c r="Q41" s="9" t="s">
        <v>108</v>
      </c>
      <c r="R41" s="9" t="s">
        <v>237</v>
      </c>
      <c r="S41" s="9" t="s">
        <v>238</v>
      </c>
      <c r="U41" s="9" t="s">
        <v>34</v>
      </c>
      <c r="X41" s="9" t="s">
        <v>34</v>
      </c>
      <c r="AB41" s="9" t="s">
        <v>33</v>
      </c>
      <c r="AD41" s="9" t="s">
        <v>34</v>
      </c>
      <c r="AH41" s="9" t="s">
        <v>34</v>
      </c>
      <c r="AK41" s="9" t="s">
        <v>34</v>
      </c>
      <c r="AL41" s="9" t="s">
        <v>34</v>
      </c>
      <c r="AM41" s="9" t="s">
        <v>96</v>
      </c>
      <c r="AN41" s="9" t="s">
        <v>97</v>
      </c>
      <c r="AO41" s="9">
        <v>60</v>
      </c>
      <c r="AP41" s="9" t="s">
        <v>98</v>
      </c>
      <c r="AQ41" s="9">
        <v>1</v>
      </c>
      <c r="AR41" s="9" t="s">
        <v>99</v>
      </c>
      <c r="AS41" s="9" t="s">
        <v>239</v>
      </c>
      <c r="AT41" s="9" t="s">
        <v>240</v>
      </c>
    </row>
    <row r="42" spans="1:46">
      <c r="A42" s="9" t="s">
        <v>241</v>
      </c>
      <c r="B42" s="8">
        <v>46202</v>
      </c>
      <c r="C42" s="9" t="s">
        <v>6</v>
      </c>
      <c r="D42" s="9" t="s">
        <v>116</v>
      </c>
      <c r="E42" s="9" t="s">
        <v>31</v>
      </c>
      <c r="F42" s="9" t="s">
        <v>242</v>
      </c>
      <c r="G42" s="9" t="s">
        <v>33</v>
      </c>
      <c r="H42" s="9" t="s">
        <v>33</v>
      </c>
      <c r="I42" s="9" t="s">
        <v>9</v>
      </c>
      <c r="J42" s="9" t="s">
        <v>34</v>
      </c>
      <c r="M42" s="9" t="s">
        <v>34</v>
      </c>
      <c r="O42" s="9" t="s">
        <v>33</v>
      </c>
      <c r="P42" s="9" t="s">
        <v>34</v>
      </c>
      <c r="Q42" s="9" t="s">
        <v>108</v>
      </c>
      <c r="R42" s="9" t="s">
        <v>243</v>
      </c>
      <c r="S42" s="9" t="s">
        <v>34</v>
      </c>
      <c r="U42" s="9" t="s">
        <v>34</v>
      </c>
      <c r="X42" s="9" t="s">
        <v>34</v>
      </c>
      <c r="AB42" s="9" t="s">
        <v>33</v>
      </c>
      <c r="AD42" s="9" t="s">
        <v>34</v>
      </c>
      <c r="AH42" s="9" t="s">
        <v>34</v>
      </c>
      <c r="AK42" s="9" t="s">
        <v>34</v>
      </c>
      <c r="AL42" s="9" t="s">
        <v>34</v>
      </c>
      <c r="AM42" s="9" t="s">
        <v>96</v>
      </c>
      <c r="AN42" s="9" t="s">
        <v>97</v>
      </c>
      <c r="AO42" s="9">
        <v>60</v>
      </c>
      <c r="AP42" s="9" t="s">
        <v>98</v>
      </c>
      <c r="AQ42" s="9">
        <v>1</v>
      </c>
      <c r="AR42" s="9" t="s">
        <v>99</v>
      </c>
      <c r="AS42" s="9" t="s">
        <v>244</v>
      </c>
      <c r="AT42" s="9" t="s">
        <v>245</v>
      </c>
    </row>
    <row r="43" spans="1:46">
      <c r="A43" s="9" t="s">
        <v>246</v>
      </c>
      <c r="B43" s="8">
        <v>46202</v>
      </c>
      <c r="C43" s="9" t="s">
        <v>6</v>
      </c>
      <c r="D43" s="9" t="s">
        <v>103</v>
      </c>
      <c r="E43" s="9" t="s">
        <v>104</v>
      </c>
      <c r="F43" s="9" t="s">
        <v>247</v>
      </c>
      <c r="G43" s="9" t="s">
        <v>33</v>
      </c>
      <c r="H43" s="9" t="s">
        <v>33</v>
      </c>
      <c r="I43" s="9" t="s">
        <v>106</v>
      </c>
      <c r="J43" s="9" t="s">
        <v>34</v>
      </c>
      <c r="K43" s="10">
        <v>25000000000</v>
      </c>
      <c r="M43" s="9" t="s">
        <v>107</v>
      </c>
      <c r="O43" s="9" t="s">
        <v>33</v>
      </c>
      <c r="P43" s="9" t="s">
        <v>34</v>
      </c>
      <c r="Q43" s="9" t="s">
        <v>108</v>
      </c>
      <c r="R43" s="9" t="s">
        <v>34</v>
      </c>
      <c r="S43" s="9" t="s">
        <v>34</v>
      </c>
      <c r="U43" s="9" t="s">
        <v>34</v>
      </c>
      <c r="X43" s="9" t="s">
        <v>34</v>
      </c>
      <c r="AB43" s="9" t="s">
        <v>33</v>
      </c>
      <c r="AD43" s="9" t="s">
        <v>34</v>
      </c>
      <c r="AH43" s="9" t="s">
        <v>34</v>
      </c>
      <c r="AK43" s="9" t="s">
        <v>34</v>
      </c>
      <c r="AL43" s="9" t="s">
        <v>34</v>
      </c>
      <c r="AM43" s="9" t="s">
        <v>96</v>
      </c>
      <c r="AN43" s="9" t="s">
        <v>97</v>
      </c>
      <c r="AO43" s="9">
        <v>75</v>
      </c>
      <c r="AP43" s="9" t="s">
        <v>109</v>
      </c>
      <c r="AQ43" s="9">
        <v>1</v>
      </c>
      <c r="AR43" s="9" t="s">
        <v>248</v>
      </c>
      <c r="AS43" s="9" t="s">
        <v>249</v>
      </c>
      <c r="AT43" s="9" t="s">
        <v>250</v>
      </c>
    </row>
    <row r="44" spans="1:46">
      <c r="A44" s="9" t="s">
        <v>251</v>
      </c>
      <c r="B44" s="8">
        <v>46202</v>
      </c>
      <c r="C44" s="9" t="s">
        <v>5</v>
      </c>
      <c r="D44" s="9" t="s">
        <v>103</v>
      </c>
      <c r="E44" s="9" t="s">
        <v>104</v>
      </c>
      <c r="F44" s="9" t="s">
        <v>252</v>
      </c>
      <c r="G44" s="9" t="s">
        <v>33</v>
      </c>
      <c r="H44" s="9" t="s">
        <v>33</v>
      </c>
      <c r="I44" s="9" t="s">
        <v>106</v>
      </c>
      <c r="J44" s="9" t="s">
        <v>34</v>
      </c>
      <c r="K44" s="10">
        <v>251000000000</v>
      </c>
      <c r="M44" s="9" t="s">
        <v>107</v>
      </c>
      <c r="O44" s="9" t="s">
        <v>33</v>
      </c>
      <c r="P44" s="9" t="s">
        <v>34</v>
      </c>
      <c r="Q44" s="9" t="s">
        <v>253</v>
      </c>
      <c r="R44" s="9" t="s">
        <v>33</v>
      </c>
      <c r="S44" s="9" t="s">
        <v>33</v>
      </c>
      <c r="U44" s="9" t="s">
        <v>33</v>
      </c>
      <c r="X44" s="9" t="s">
        <v>33</v>
      </c>
      <c r="AB44" s="9" t="s">
        <v>34</v>
      </c>
      <c r="AD44" s="9" t="s">
        <v>34</v>
      </c>
      <c r="AH44" s="9" t="s">
        <v>34</v>
      </c>
      <c r="AK44" s="9" t="s">
        <v>34</v>
      </c>
      <c r="AL44" s="9" t="s">
        <v>34</v>
      </c>
      <c r="AM44" s="9" t="s">
        <v>96</v>
      </c>
      <c r="AN44" s="9" t="s">
        <v>130</v>
      </c>
      <c r="AO44" s="9">
        <v>15</v>
      </c>
      <c r="AP44" s="9" t="s">
        <v>109</v>
      </c>
      <c r="AQ44" s="9">
        <v>1</v>
      </c>
      <c r="AR44" s="9" t="s">
        <v>199</v>
      </c>
      <c r="AS44" s="9" t="s">
        <v>254</v>
      </c>
      <c r="AT44" s="9" t="s">
        <v>255</v>
      </c>
    </row>
    <row r="45" spans="1:46">
      <c r="A45" s="9" t="s">
        <v>256</v>
      </c>
      <c r="B45" s="8">
        <v>46201</v>
      </c>
      <c r="C45" s="9" t="s">
        <v>6</v>
      </c>
      <c r="D45" s="9" t="s">
        <v>92</v>
      </c>
      <c r="E45" s="9" t="s">
        <v>37</v>
      </c>
      <c r="F45" s="9" t="s">
        <v>38</v>
      </c>
      <c r="G45" s="9" t="s">
        <v>33</v>
      </c>
      <c r="H45" s="9" t="s">
        <v>33</v>
      </c>
      <c r="I45" s="9" t="s">
        <v>106</v>
      </c>
      <c r="J45" s="9" t="s">
        <v>94</v>
      </c>
      <c r="K45" s="10">
        <v>20000000000</v>
      </c>
      <c r="M45" s="9" t="s">
        <v>39</v>
      </c>
      <c r="O45" s="9" t="s">
        <v>33</v>
      </c>
      <c r="P45" s="9" t="s">
        <v>34</v>
      </c>
      <c r="Q45" s="9" t="s">
        <v>108</v>
      </c>
      <c r="R45" s="9" t="s">
        <v>34</v>
      </c>
      <c r="S45" s="9" t="s">
        <v>34</v>
      </c>
      <c r="U45" s="9" t="s">
        <v>34</v>
      </c>
      <c r="X45" s="9" t="s">
        <v>34</v>
      </c>
      <c r="AB45" s="9" t="s">
        <v>33</v>
      </c>
      <c r="AD45" s="9" t="s">
        <v>34</v>
      </c>
      <c r="AH45" s="9" t="s">
        <v>34</v>
      </c>
      <c r="AK45" s="9" t="s">
        <v>34</v>
      </c>
      <c r="AL45" s="9" t="s">
        <v>34</v>
      </c>
      <c r="AM45" s="9" t="s">
        <v>96</v>
      </c>
      <c r="AN45" s="9" t="s">
        <v>35</v>
      </c>
      <c r="AO45" s="9">
        <v>100</v>
      </c>
      <c r="AP45" s="9" t="s">
        <v>98</v>
      </c>
      <c r="AQ45" s="9">
        <v>1</v>
      </c>
      <c r="AR45" s="9" t="s">
        <v>257</v>
      </c>
      <c r="AS45" s="9" t="s">
        <v>258</v>
      </c>
      <c r="AT45" s="9" t="s">
        <v>40</v>
      </c>
    </row>
    <row r="46" spans="1:46">
      <c r="A46" s="9" t="s">
        <v>259</v>
      </c>
      <c r="B46" s="8">
        <v>46201</v>
      </c>
      <c r="C46" s="9" t="s">
        <v>6</v>
      </c>
      <c r="D46" s="9" t="s">
        <v>103</v>
      </c>
      <c r="E46" s="9" t="s">
        <v>104</v>
      </c>
      <c r="F46" s="9" t="s">
        <v>135</v>
      </c>
      <c r="G46" s="9" t="s">
        <v>33</v>
      </c>
      <c r="H46" s="9" t="s">
        <v>33</v>
      </c>
      <c r="I46" s="9" t="s">
        <v>106</v>
      </c>
      <c r="J46" s="9" t="s">
        <v>34</v>
      </c>
      <c r="M46" s="9" t="s">
        <v>34</v>
      </c>
      <c r="O46" s="9" t="s">
        <v>33</v>
      </c>
      <c r="P46" s="9" t="s">
        <v>34</v>
      </c>
      <c r="Q46" s="9" t="s">
        <v>108</v>
      </c>
      <c r="R46" s="9" t="s">
        <v>34</v>
      </c>
      <c r="S46" s="9" t="s">
        <v>34</v>
      </c>
      <c r="U46" s="9" t="s">
        <v>34</v>
      </c>
      <c r="X46" s="9" t="s">
        <v>34</v>
      </c>
      <c r="AB46" s="9" t="s">
        <v>33</v>
      </c>
      <c r="AD46" s="9" t="s">
        <v>34</v>
      </c>
      <c r="AH46" s="9" t="s">
        <v>34</v>
      </c>
      <c r="AK46" s="9" t="s">
        <v>34</v>
      </c>
      <c r="AL46" s="9" t="s">
        <v>34</v>
      </c>
      <c r="AM46" s="9" t="s">
        <v>96</v>
      </c>
      <c r="AN46" s="9" t="s">
        <v>130</v>
      </c>
      <c r="AO46" s="9">
        <v>15</v>
      </c>
      <c r="AP46" s="9" t="s">
        <v>109</v>
      </c>
      <c r="AQ46" s="9">
        <v>1</v>
      </c>
      <c r="AR46" s="9" t="s">
        <v>248</v>
      </c>
      <c r="AS46" s="9" t="s">
        <v>260</v>
      </c>
      <c r="AT46" s="9" t="s">
        <v>261</v>
      </c>
    </row>
    <row r="47" spans="1:46">
      <c r="A47" s="9" t="s">
        <v>262</v>
      </c>
      <c r="B47" s="8">
        <v>46200</v>
      </c>
      <c r="C47" s="9" t="s">
        <v>4</v>
      </c>
      <c r="D47" s="9" t="s">
        <v>103</v>
      </c>
      <c r="E47" s="9" t="s">
        <v>104</v>
      </c>
      <c r="F47" s="9" t="s">
        <v>34</v>
      </c>
      <c r="G47" s="9" t="s">
        <v>34</v>
      </c>
      <c r="H47" s="9" t="s">
        <v>34</v>
      </c>
      <c r="I47" s="9" t="s">
        <v>106</v>
      </c>
      <c r="J47" s="9" t="s">
        <v>34</v>
      </c>
      <c r="M47" s="9" t="s">
        <v>34</v>
      </c>
      <c r="O47" s="9" t="s">
        <v>263</v>
      </c>
      <c r="P47" s="9" t="s">
        <v>34</v>
      </c>
      <c r="Q47" s="9" t="s">
        <v>129</v>
      </c>
      <c r="R47" s="9" t="s">
        <v>33</v>
      </c>
      <c r="S47" s="9" t="s">
        <v>33</v>
      </c>
      <c r="U47" s="9" t="s">
        <v>33</v>
      </c>
      <c r="X47" s="9" t="s">
        <v>33</v>
      </c>
      <c r="AB47" s="9" t="s">
        <v>33</v>
      </c>
      <c r="AD47" s="9" t="s">
        <v>34</v>
      </c>
      <c r="AH47" s="9" t="s">
        <v>34</v>
      </c>
      <c r="AK47" s="9" t="s">
        <v>34</v>
      </c>
      <c r="AL47" s="9" t="s">
        <v>34</v>
      </c>
      <c r="AM47" s="9" t="s">
        <v>96</v>
      </c>
      <c r="AN47" s="9" t="s">
        <v>130</v>
      </c>
      <c r="AO47" s="9">
        <v>0</v>
      </c>
      <c r="AP47" s="9" t="s">
        <v>109</v>
      </c>
      <c r="AQ47" s="9">
        <v>1</v>
      </c>
      <c r="AR47" s="9" t="s">
        <v>264</v>
      </c>
      <c r="AS47" s="9" t="s">
        <v>265</v>
      </c>
      <c r="AT47" s="9" t="s">
        <v>266</v>
      </c>
    </row>
    <row r="48" spans="1:46">
      <c r="A48" s="9" t="s">
        <v>267</v>
      </c>
      <c r="B48" s="8">
        <v>46199</v>
      </c>
      <c r="C48" s="9" t="s">
        <v>6</v>
      </c>
      <c r="D48" s="9" t="s">
        <v>116</v>
      </c>
      <c r="E48" s="9" t="s">
        <v>31</v>
      </c>
      <c r="F48" s="9" t="s">
        <v>34</v>
      </c>
      <c r="G48" s="9" t="s">
        <v>33</v>
      </c>
      <c r="H48" s="9" t="s">
        <v>33</v>
      </c>
      <c r="I48" s="9" t="s">
        <v>106</v>
      </c>
      <c r="J48" s="9" t="s">
        <v>94</v>
      </c>
      <c r="M48" s="9" t="s">
        <v>34</v>
      </c>
      <c r="O48" s="9" t="s">
        <v>33</v>
      </c>
      <c r="P48" s="9" t="s">
        <v>34</v>
      </c>
      <c r="Q48" s="9" t="s">
        <v>108</v>
      </c>
      <c r="R48" s="9" t="s">
        <v>34</v>
      </c>
      <c r="S48" s="9" t="s">
        <v>34</v>
      </c>
      <c r="U48" s="9" t="s">
        <v>34</v>
      </c>
      <c r="X48" s="9" t="s">
        <v>34</v>
      </c>
      <c r="AB48" s="9" t="s">
        <v>33</v>
      </c>
      <c r="AD48" s="9" t="s">
        <v>34</v>
      </c>
      <c r="AH48" s="9" t="s">
        <v>34</v>
      </c>
      <c r="AK48" s="9" t="s">
        <v>34</v>
      </c>
      <c r="AL48" s="9" t="s">
        <v>34</v>
      </c>
      <c r="AM48" s="9" t="s">
        <v>96</v>
      </c>
      <c r="AN48" s="9" t="s">
        <v>97</v>
      </c>
      <c r="AO48" s="9">
        <v>40</v>
      </c>
      <c r="AP48" s="9" t="s">
        <v>98</v>
      </c>
      <c r="AQ48" s="9">
        <v>1</v>
      </c>
      <c r="AR48" s="9" t="s">
        <v>99</v>
      </c>
      <c r="AS48" s="9" t="s">
        <v>268</v>
      </c>
      <c r="AT48" s="9" t="s">
        <v>269</v>
      </c>
    </row>
    <row r="49" spans="1:46">
      <c r="A49" s="9" t="s">
        <v>270</v>
      </c>
      <c r="B49" s="8">
        <v>46199</v>
      </c>
      <c r="C49" s="9" t="s">
        <v>6</v>
      </c>
      <c r="D49" s="9" t="s">
        <v>116</v>
      </c>
      <c r="E49" s="9" t="s">
        <v>31</v>
      </c>
      <c r="F49" s="9" t="s">
        <v>34</v>
      </c>
      <c r="G49" s="9" t="s">
        <v>33</v>
      </c>
      <c r="H49" s="9" t="s">
        <v>33</v>
      </c>
      <c r="I49" s="9" t="s">
        <v>106</v>
      </c>
      <c r="J49" s="9" t="s">
        <v>94</v>
      </c>
      <c r="M49" s="9" t="s">
        <v>34</v>
      </c>
      <c r="O49" s="9" t="s">
        <v>33</v>
      </c>
      <c r="P49" s="9" t="s">
        <v>34</v>
      </c>
      <c r="Q49" s="9" t="s">
        <v>108</v>
      </c>
      <c r="R49" s="9" t="s">
        <v>34</v>
      </c>
      <c r="S49" s="9" t="s">
        <v>34</v>
      </c>
      <c r="U49" s="9" t="s">
        <v>34</v>
      </c>
      <c r="X49" s="9" t="s">
        <v>34</v>
      </c>
      <c r="AB49" s="9" t="s">
        <v>33</v>
      </c>
      <c r="AD49" s="9" t="s">
        <v>34</v>
      </c>
      <c r="AH49" s="9" t="s">
        <v>34</v>
      </c>
      <c r="AK49" s="9" t="s">
        <v>34</v>
      </c>
      <c r="AL49" s="9" t="s">
        <v>34</v>
      </c>
      <c r="AM49" s="9" t="s">
        <v>96</v>
      </c>
      <c r="AN49" s="9" t="s">
        <v>97</v>
      </c>
      <c r="AO49" s="9">
        <v>40</v>
      </c>
      <c r="AP49" s="9" t="s">
        <v>98</v>
      </c>
      <c r="AQ49" s="9">
        <v>1</v>
      </c>
      <c r="AR49" s="9" t="s">
        <v>99</v>
      </c>
      <c r="AS49" s="9" t="s">
        <v>271</v>
      </c>
      <c r="AT49" s="9" t="s">
        <v>181</v>
      </c>
    </row>
    <row r="50" spans="1:46">
      <c r="A50" s="9" t="s">
        <v>272</v>
      </c>
      <c r="B50" s="8">
        <v>46199</v>
      </c>
      <c r="C50" s="9" t="s">
        <v>6</v>
      </c>
      <c r="D50" s="9" t="s">
        <v>116</v>
      </c>
      <c r="E50" s="9" t="s">
        <v>31</v>
      </c>
      <c r="F50" s="9" t="s">
        <v>34</v>
      </c>
      <c r="G50" s="9" t="s">
        <v>33</v>
      </c>
      <c r="H50" s="9" t="s">
        <v>33</v>
      </c>
      <c r="I50" s="9" t="s">
        <v>106</v>
      </c>
      <c r="J50" s="9" t="s">
        <v>94</v>
      </c>
      <c r="M50" s="9" t="s">
        <v>34</v>
      </c>
      <c r="O50" s="9" t="s">
        <v>33</v>
      </c>
      <c r="P50" s="9" t="s">
        <v>34</v>
      </c>
      <c r="Q50" s="9" t="s">
        <v>108</v>
      </c>
      <c r="R50" s="9" t="s">
        <v>34</v>
      </c>
      <c r="S50" s="9" t="s">
        <v>34</v>
      </c>
      <c r="U50" s="9" t="s">
        <v>34</v>
      </c>
      <c r="X50" s="9" t="s">
        <v>34</v>
      </c>
      <c r="AB50" s="9" t="s">
        <v>33</v>
      </c>
      <c r="AD50" s="9" t="s">
        <v>34</v>
      </c>
      <c r="AH50" s="9" t="s">
        <v>34</v>
      </c>
      <c r="AK50" s="9" t="s">
        <v>34</v>
      </c>
      <c r="AL50" s="9" t="s">
        <v>34</v>
      </c>
      <c r="AM50" s="9" t="s">
        <v>96</v>
      </c>
      <c r="AN50" s="9" t="s">
        <v>97</v>
      </c>
      <c r="AO50" s="9">
        <v>40</v>
      </c>
      <c r="AP50" s="9" t="s">
        <v>98</v>
      </c>
      <c r="AQ50" s="9">
        <v>1</v>
      </c>
      <c r="AR50" s="9" t="s">
        <v>99</v>
      </c>
      <c r="AS50" s="9" t="s">
        <v>273</v>
      </c>
      <c r="AT50" s="9" t="s">
        <v>169</v>
      </c>
    </row>
    <row r="51" spans="1:46">
      <c r="A51" s="9" t="s">
        <v>274</v>
      </c>
      <c r="B51" s="8">
        <v>46199</v>
      </c>
      <c r="C51" s="9" t="s">
        <v>6</v>
      </c>
      <c r="D51" s="9" t="s">
        <v>116</v>
      </c>
      <c r="E51" s="9" t="s">
        <v>31</v>
      </c>
      <c r="F51" s="9" t="s">
        <v>34</v>
      </c>
      <c r="G51" s="9" t="s">
        <v>33</v>
      </c>
      <c r="H51" s="9" t="s">
        <v>33</v>
      </c>
      <c r="I51" s="9" t="s">
        <v>9</v>
      </c>
      <c r="J51" s="9" t="s">
        <v>34</v>
      </c>
      <c r="M51" s="9" t="s">
        <v>34</v>
      </c>
      <c r="O51" s="9" t="s">
        <v>33</v>
      </c>
      <c r="P51" s="9" t="s">
        <v>34</v>
      </c>
      <c r="Q51" s="9" t="s">
        <v>108</v>
      </c>
      <c r="R51" s="9" t="s">
        <v>34</v>
      </c>
      <c r="S51" s="9" t="s">
        <v>34</v>
      </c>
      <c r="U51" s="9" t="s">
        <v>34</v>
      </c>
      <c r="X51" s="9" t="s">
        <v>34</v>
      </c>
      <c r="AB51" s="9" t="s">
        <v>33</v>
      </c>
      <c r="AD51" s="9" t="s">
        <v>34</v>
      </c>
      <c r="AH51" s="9" t="s">
        <v>34</v>
      </c>
      <c r="AK51" s="9" t="s">
        <v>34</v>
      </c>
      <c r="AL51" s="9" t="s">
        <v>34</v>
      </c>
      <c r="AM51" s="9" t="s">
        <v>96</v>
      </c>
      <c r="AN51" s="9" t="s">
        <v>97</v>
      </c>
      <c r="AO51" s="9">
        <v>40</v>
      </c>
      <c r="AP51" s="9" t="s">
        <v>98</v>
      </c>
      <c r="AQ51" s="9">
        <v>1</v>
      </c>
      <c r="AR51" s="9" t="s">
        <v>99</v>
      </c>
      <c r="AS51" s="9" t="s">
        <v>275</v>
      </c>
      <c r="AT51" s="9" t="s">
        <v>276</v>
      </c>
    </row>
    <row r="52" spans="1:46">
      <c r="A52" s="9" t="s">
        <v>277</v>
      </c>
      <c r="B52" s="8">
        <v>46199</v>
      </c>
      <c r="C52" s="9" t="s">
        <v>6</v>
      </c>
      <c r="D52" s="9" t="s">
        <v>116</v>
      </c>
      <c r="E52" s="9" t="s">
        <v>31</v>
      </c>
      <c r="F52" s="9" t="s">
        <v>34</v>
      </c>
      <c r="G52" s="9" t="s">
        <v>33</v>
      </c>
      <c r="H52" s="9" t="s">
        <v>33</v>
      </c>
      <c r="I52" s="9" t="s">
        <v>9</v>
      </c>
      <c r="J52" s="9" t="s">
        <v>94</v>
      </c>
      <c r="M52" s="9" t="s">
        <v>34</v>
      </c>
      <c r="O52" s="9" t="s">
        <v>33</v>
      </c>
      <c r="P52" s="9" t="s">
        <v>34</v>
      </c>
      <c r="Q52" s="9" t="s">
        <v>108</v>
      </c>
      <c r="R52" s="9" t="s">
        <v>34</v>
      </c>
      <c r="S52" s="9" t="s">
        <v>34</v>
      </c>
      <c r="U52" s="9" t="s">
        <v>34</v>
      </c>
      <c r="X52" s="9" t="s">
        <v>34</v>
      </c>
      <c r="AB52" s="9" t="s">
        <v>33</v>
      </c>
      <c r="AD52" s="9" t="s">
        <v>34</v>
      </c>
      <c r="AH52" s="9" t="s">
        <v>34</v>
      </c>
      <c r="AK52" s="9" t="s">
        <v>34</v>
      </c>
      <c r="AL52" s="9" t="s">
        <v>34</v>
      </c>
      <c r="AM52" s="9" t="s">
        <v>96</v>
      </c>
      <c r="AN52" s="9" t="s">
        <v>97</v>
      </c>
      <c r="AO52" s="9">
        <v>40</v>
      </c>
      <c r="AP52" s="9" t="s">
        <v>98</v>
      </c>
      <c r="AQ52" s="9">
        <v>1</v>
      </c>
      <c r="AR52" s="9" t="s">
        <v>99</v>
      </c>
      <c r="AS52" s="9" t="s">
        <v>278</v>
      </c>
      <c r="AT52" s="9" t="s">
        <v>279</v>
      </c>
    </row>
    <row r="53" spans="1:46">
      <c r="A53" s="9" t="s">
        <v>280</v>
      </c>
      <c r="B53" s="8">
        <v>46199</v>
      </c>
      <c r="C53" s="9" t="s">
        <v>6</v>
      </c>
      <c r="D53" s="9" t="s">
        <v>116</v>
      </c>
      <c r="E53" s="9" t="s">
        <v>31</v>
      </c>
      <c r="F53" s="9" t="s">
        <v>34</v>
      </c>
      <c r="G53" s="9" t="s">
        <v>33</v>
      </c>
      <c r="H53" s="9" t="s">
        <v>33</v>
      </c>
      <c r="I53" s="9" t="s">
        <v>106</v>
      </c>
      <c r="J53" s="9" t="s">
        <v>34</v>
      </c>
      <c r="M53" s="9" t="s">
        <v>34</v>
      </c>
      <c r="O53" s="9" t="s">
        <v>33</v>
      </c>
      <c r="P53" s="9" t="s">
        <v>34</v>
      </c>
      <c r="Q53" s="9" t="s">
        <v>108</v>
      </c>
      <c r="R53" s="9" t="s">
        <v>34</v>
      </c>
      <c r="S53" s="9" t="s">
        <v>34</v>
      </c>
      <c r="U53" s="9" t="s">
        <v>34</v>
      </c>
      <c r="X53" s="9" t="s">
        <v>34</v>
      </c>
      <c r="AB53" s="9" t="s">
        <v>33</v>
      </c>
      <c r="AD53" s="9" t="s">
        <v>34</v>
      </c>
      <c r="AH53" s="9" t="s">
        <v>34</v>
      </c>
      <c r="AK53" s="9" t="s">
        <v>34</v>
      </c>
      <c r="AL53" s="9" t="s">
        <v>34</v>
      </c>
      <c r="AM53" s="9" t="s">
        <v>96</v>
      </c>
      <c r="AN53" s="9" t="s">
        <v>97</v>
      </c>
      <c r="AO53" s="9">
        <v>40</v>
      </c>
      <c r="AP53" s="9" t="s">
        <v>98</v>
      </c>
      <c r="AQ53" s="9">
        <v>1</v>
      </c>
      <c r="AR53" s="9" t="s">
        <v>99</v>
      </c>
      <c r="AS53" s="9" t="s">
        <v>281</v>
      </c>
      <c r="AT53" s="9" t="s">
        <v>282</v>
      </c>
    </row>
    <row r="54" spans="1:46">
      <c r="A54" s="9" t="s">
        <v>283</v>
      </c>
      <c r="B54" s="8">
        <v>46199</v>
      </c>
      <c r="C54" s="9" t="s">
        <v>6</v>
      </c>
      <c r="D54" s="9" t="s">
        <v>116</v>
      </c>
      <c r="E54" s="9" t="s">
        <v>31</v>
      </c>
      <c r="F54" s="9" t="s">
        <v>34</v>
      </c>
      <c r="G54" s="9" t="s">
        <v>33</v>
      </c>
      <c r="H54" s="9" t="s">
        <v>33</v>
      </c>
      <c r="I54" s="9" t="s">
        <v>106</v>
      </c>
      <c r="J54" s="9" t="s">
        <v>94</v>
      </c>
      <c r="M54" s="9" t="s">
        <v>34</v>
      </c>
      <c r="O54" s="9" t="s">
        <v>33</v>
      </c>
      <c r="P54" s="9" t="s">
        <v>34</v>
      </c>
      <c r="Q54" s="9" t="s">
        <v>108</v>
      </c>
      <c r="R54" s="9" t="s">
        <v>34</v>
      </c>
      <c r="S54" s="9" t="s">
        <v>34</v>
      </c>
      <c r="U54" s="9" t="s">
        <v>34</v>
      </c>
      <c r="X54" s="9" t="s">
        <v>34</v>
      </c>
      <c r="AB54" s="9" t="s">
        <v>33</v>
      </c>
      <c r="AD54" s="9" t="s">
        <v>34</v>
      </c>
      <c r="AH54" s="9" t="s">
        <v>34</v>
      </c>
      <c r="AK54" s="9" t="s">
        <v>34</v>
      </c>
      <c r="AL54" s="9" t="s">
        <v>34</v>
      </c>
      <c r="AM54" s="9" t="s">
        <v>96</v>
      </c>
      <c r="AN54" s="9" t="s">
        <v>97</v>
      </c>
      <c r="AO54" s="9">
        <v>40</v>
      </c>
      <c r="AP54" s="9" t="s">
        <v>98</v>
      </c>
      <c r="AQ54" s="9">
        <v>1</v>
      </c>
      <c r="AR54" s="9" t="s">
        <v>99</v>
      </c>
      <c r="AS54" s="9" t="s">
        <v>284</v>
      </c>
      <c r="AT54" s="9" t="s">
        <v>285</v>
      </c>
    </row>
    <row r="55" spans="1:46">
      <c r="A55" s="9" t="s">
        <v>286</v>
      </c>
      <c r="B55" s="8">
        <v>46197</v>
      </c>
      <c r="C55" s="9" t="s">
        <v>6</v>
      </c>
      <c r="D55" s="9" t="s">
        <v>103</v>
      </c>
      <c r="E55" s="9" t="s">
        <v>153</v>
      </c>
      <c r="F55" s="9" t="s">
        <v>287</v>
      </c>
      <c r="G55" s="9" t="s">
        <v>33</v>
      </c>
      <c r="H55" s="9" t="s">
        <v>33</v>
      </c>
      <c r="I55" s="9" t="s">
        <v>106</v>
      </c>
      <c r="J55" s="9" t="s">
        <v>94</v>
      </c>
      <c r="K55" s="10">
        <v>5000000000</v>
      </c>
      <c r="M55" s="9" t="s">
        <v>39</v>
      </c>
      <c r="O55" s="9" t="s">
        <v>33</v>
      </c>
      <c r="Q55" s="9" t="s">
        <v>108</v>
      </c>
      <c r="R55" s="9" t="s">
        <v>34</v>
      </c>
      <c r="S55" s="9" t="s">
        <v>34</v>
      </c>
      <c r="U55" s="9" t="s">
        <v>34</v>
      </c>
      <c r="X55" s="9" t="s">
        <v>34</v>
      </c>
      <c r="AB55" s="9" t="s">
        <v>33</v>
      </c>
      <c r="AD55" s="9" t="s">
        <v>288</v>
      </c>
      <c r="AK55" s="9" t="s">
        <v>34</v>
      </c>
      <c r="AL55" s="9" t="s">
        <v>34</v>
      </c>
      <c r="AM55" s="9" t="s">
        <v>96</v>
      </c>
      <c r="AN55" s="9" t="s">
        <v>97</v>
      </c>
      <c r="AO55" s="9">
        <v>75</v>
      </c>
      <c r="AP55" s="9" t="s">
        <v>109</v>
      </c>
      <c r="AQ55" s="9">
        <v>1</v>
      </c>
      <c r="AR55" s="9" t="s">
        <v>289</v>
      </c>
      <c r="AS55" s="9" t="s">
        <v>290</v>
      </c>
      <c r="AT55" s="9" t="s">
        <v>291</v>
      </c>
    </row>
    <row r="56" spans="1:46">
      <c r="A56" s="9" t="s">
        <v>292</v>
      </c>
      <c r="B56" s="8">
        <v>46192</v>
      </c>
      <c r="C56" s="9" t="s">
        <v>6</v>
      </c>
      <c r="D56" s="9" t="s">
        <v>92</v>
      </c>
      <c r="E56" s="9" t="s">
        <v>41</v>
      </c>
      <c r="F56" s="9" t="s">
        <v>42</v>
      </c>
      <c r="G56" s="9" t="s">
        <v>33</v>
      </c>
      <c r="H56" s="9" t="s">
        <v>33</v>
      </c>
      <c r="I56" s="9" t="s">
        <v>93</v>
      </c>
      <c r="J56" s="9" t="s">
        <v>94</v>
      </c>
      <c r="K56" s="10">
        <v>60000000000</v>
      </c>
      <c r="M56" s="9" t="s">
        <v>39</v>
      </c>
      <c r="O56" s="9" t="s">
        <v>33</v>
      </c>
      <c r="P56" s="9" t="s">
        <v>34</v>
      </c>
      <c r="Q56" s="9" t="s">
        <v>108</v>
      </c>
      <c r="R56" s="9" t="s">
        <v>293</v>
      </c>
      <c r="S56" s="9" t="s">
        <v>34</v>
      </c>
      <c r="U56" s="9" t="s">
        <v>34</v>
      </c>
      <c r="X56" s="9" t="s">
        <v>34</v>
      </c>
      <c r="AB56" s="9" t="s">
        <v>33</v>
      </c>
      <c r="AD56" s="9" t="s">
        <v>34</v>
      </c>
      <c r="AH56" s="9" t="s">
        <v>34</v>
      </c>
      <c r="AK56" s="9" t="s">
        <v>34</v>
      </c>
      <c r="AL56" s="9" t="s">
        <v>34</v>
      </c>
      <c r="AM56" s="9" t="s">
        <v>96</v>
      </c>
      <c r="AN56" s="9" t="s">
        <v>35</v>
      </c>
      <c r="AO56" s="9">
        <v>100</v>
      </c>
      <c r="AP56" s="9" t="s">
        <v>98</v>
      </c>
      <c r="AQ56" s="9">
        <v>3</v>
      </c>
      <c r="AR56" s="9" t="s">
        <v>294</v>
      </c>
      <c r="AS56" s="9" t="s">
        <v>295</v>
      </c>
      <c r="AT56" s="9" t="s">
        <v>43</v>
      </c>
    </row>
    <row r="57" spans="1:46">
      <c r="A57" s="9" t="s">
        <v>296</v>
      </c>
      <c r="B57" s="8">
        <v>46183</v>
      </c>
      <c r="C57" s="9" t="s">
        <v>6</v>
      </c>
      <c r="D57" s="9" t="s">
        <v>103</v>
      </c>
      <c r="E57" s="9" t="s">
        <v>104</v>
      </c>
      <c r="F57" s="9" t="s">
        <v>297</v>
      </c>
      <c r="G57" s="9" t="s">
        <v>33</v>
      </c>
      <c r="H57" s="9" t="s">
        <v>33</v>
      </c>
      <c r="I57" s="9" t="s">
        <v>106</v>
      </c>
      <c r="J57" s="9" t="s">
        <v>34</v>
      </c>
      <c r="K57" s="10">
        <v>3000000000</v>
      </c>
      <c r="M57" s="9" t="s">
        <v>298</v>
      </c>
      <c r="O57" s="9" t="s">
        <v>33</v>
      </c>
      <c r="P57" s="9" t="s">
        <v>34</v>
      </c>
      <c r="Q57" s="9" t="s">
        <v>108</v>
      </c>
      <c r="R57" s="9" t="s">
        <v>34</v>
      </c>
      <c r="S57" s="9" t="s">
        <v>34</v>
      </c>
      <c r="U57" s="9" t="s">
        <v>34</v>
      </c>
      <c r="X57" s="9" t="s">
        <v>34</v>
      </c>
      <c r="AB57" s="9" t="s">
        <v>33</v>
      </c>
      <c r="AD57" s="9" t="s">
        <v>34</v>
      </c>
      <c r="AH57" s="9" t="s">
        <v>34</v>
      </c>
      <c r="AK57" s="9" t="s">
        <v>34</v>
      </c>
      <c r="AL57" s="9" t="s">
        <v>34</v>
      </c>
      <c r="AM57" s="9" t="s">
        <v>96</v>
      </c>
      <c r="AN57" s="9" t="s">
        <v>97</v>
      </c>
      <c r="AO57" s="9">
        <v>67</v>
      </c>
      <c r="AP57" s="9" t="s">
        <v>109</v>
      </c>
      <c r="AQ57" s="9">
        <v>1</v>
      </c>
      <c r="AR57" s="9" t="s">
        <v>299</v>
      </c>
      <c r="AS57" s="9" t="s">
        <v>300</v>
      </c>
      <c r="AT57" s="9" t="s">
        <v>301</v>
      </c>
    </row>
    <row r="58" spans="1:46">
      <c r="A58" s="9" t="s">
        <v>302</v>
      </c>
      <c r="B58" s="8">
        <v>46177</v>
      </c>
      <c r="C58" s="9" t="s">
        <v>4</v>
      </c>
      <c r="D58" s="9" t="s">
        <v>303</v>
      </c>
      <c r="E58" s="9" t="s">
        <v>304</v>
      </c>
      <c r="F58" s="9" t="s">
        <v>305</v>
      </c>
      <c r="G58" s="9" t="s">
        <v>306</v>
      </c>
      <c r="H58" s="9" t="s">
        <v>34</v>
      </c>
      <c r="I58" s="9" t="s">
        <v>106</v>
      </c>
      <c r="J58" s="9" t="s">
        <v>94</v>
      </c>
      <c r="M58" s="9" t="s">
        <v>34</v>
      </c>
      <c r="O58" s="9" t="s">
        <v>263</v>
      </c>
      <c r="P58" s="9" t="s">
        <v>34</v>
      </c>
      <c r="Q58" s="9" t="s">
        <v>129</v>
      </c>
      <c r="R58" s="9" t="s">
        <v>33</v>
      </c>
      <c r="S58" s="9" t="s">
        <v>33</v>
      </c>
      <c r="U58" s="9" t="s">
        <v>33</v>
      </c>
      <c r="X58" s="9" t="s">
        <v>33</v>
      </c>
      <c r="AB58" s="9" t="s">
        <v>33</v>
      </c>
      <c r="AD58" s="9" t="s">
        <v>34</v>
      </c>
      <c r="AH58" s="9" t="s">
        <v>34</v>
      </c>
      <c r="AK58" s="9" t="s">
        <v>34</v>
      </c>
      <c r="AL58" s="9" t="s">
        <v>34</v>
      </c>
      <c r="AM58" s="9" t="s">
        <v>96</v>
      </c>
      <c r="AN58" s="9" t="s">
        <v>97</v>
      </c>
      <c r="AO58" s="9">
        <v>65</v>
      </c>
      <c r="AP58" s="9" t="s">
        <v>109</v>
      </c>
      <c r="AQ58" s="9">
        <v>9</v>
      </c>
      <c r="AR58" s="9" t="s">
        <v>224</v>
      </c>
      <c r="AS58" s="9" t="s">
        <v>307</v>
      </c>
      <c r="AT58" s="9" t="s">
        <v>308</v>
      </c>
    </row>
    <row r="59" spans="1:46">
      <c r="A59" s="9" t="s">
        <v>309</v>
      </c>
      <c r="B59" s="8">
        <v>46175</v>
      </c>
      <c r="C59" s="9" t="s">
        <v>4</v>
      </c>
      <c r="D59" s="9" t="s">
        <v>92</v>
      </c>
      <c r="E59" s="9" t="s">
        <v>44</v>
      </c>
      <c r="F59" s="9" t="s">
        <v>45</v>
      </c>
      <c r="G59" s="9" t="s">
        <v>46</v>
      </c>
      <c r="H59" s="9" t="s">
        <v>42</v>
      </c>
      <c r="I59" s="9" t="s">
        <v>93</v>
      </c>
      <c r="J59" s="9" t="s">
        <v>94</v>
      </c>
      <c r="K59" s="10">
        <v>35000000000</v>
      </c>
      <c r="M59" s="9" t="s">
        <v>39</v>
      </c>
      <c r="O59" s="9" t="s">
        <v>34</v>
      </c>
      <c r="P59" s="9" t="s">
        <v>34</v>
      </c>
      <c r="Q59" s="9" t="s">
        <v>129</v>
      </c>
      <c r="R59" s="9" t="s">
        <v>33</v>
      </c>
      <c r="S59" s="9" t="s">
        <v>33</v>
      </c>
      <c r="U59" s="9" t="s">
        <v>33</v>
      </c>
      <c r="X59" s="9" t="s">
        <v>33</v>
      </c>
      <c r="AB59" s="9" t="s">
        <v>33</v>
      </c>
      <c r="AD59" s="9" t="s">
        <v>34</v>
      </c>
      <c r="AH59" s="9" t="s">
        <v>34</v>
      </c>
      <c r="AK59" s="9" t="s">
        <v>34</v>
      </c>
      <c r="AL59" s="9" t="s">
        <v>34</v>
      </c>
      <c r="AM59" s="9" t="s">
        <v>96</v>
      </c>
      <c r="AN59" s="9" t="s">
        <v>35</v>
      </c>
      <c r="AO59" s="9">
        <v>100</v>
      </c>
      <c r="AP59" s="9" t="s">
        <v>98</v>
      </c>
      <c r="AQ59" s="9">
        <v>3</v>
      </c>
      <c r="AR59" s="9" t="s">
        <v>294</v>
      </c>
      <c r="AS59" s="9" t="s">
        <v>310</v>
      </c>
      <c r="AT59" s="9" t="s">
        <v>47</v>
      </c>
    </row>
    <row r="60" spans="1:46">
      <c r="A60" s="9" t="s">
        <v>311</v>
      </c>
      <c r="B60" s="8">
        <v>46170</v>
      </c>
      <c r="C60" s="9" t="s">
        <v>4</v>
      </c>
      <c r="D60" s="9" t="s">
        <v>103</v>
      </c>
      <c r="E60" s="9" t="s">
        <v>312</v>
      </c>
      <c r="F60" s="9" t="s">
        <v>313</v>
      </c>
      <c r="G60" s="9" t="s">
        <v>42</v>
      </c>
      <c r="H60" s="9" t="s">
        <v>34</v>
      </c>
      <c r="I60" s="9" t="s">
        <v>106</v>
      </c>
      <c r="J60" s="9" t="s">
        <v>34</v>
      </c>
      <c r="M60" s="9" t="s">
        <v>34</v>
      </c>
      <c r="O60" s="9" t="s">
        <v>34</v>
      </c>
      <c r="P60" s="9" t="s">
        <v>34</v>
      </c>
      <c r="Q60" s="9" t="s">
        <v>129</v>
      </c>
      <c r="R60" s="9" t="s">
        <v>33</v>
      </c>
      <c r="S60" s="9" t="s">
        <v>33</v>
      </c>
      <c r="U60" s="9" t="s">
        <v>33</v>
      </c>
      <c r="X60" s="9" t="s">
        <v>33</v>
      </c>
      <c r="AB60" s="9" t="s">
        <v>33</v>
      </c>
      <c r="AD60" s="9" t="s">
        <v>34</v>
      </c>
      <c r="AH60" s="9" t="s">
        <v>34</v>
      </c>
      <c r="AK60" s="9" t="s">
        <v>34</v>
      </c>
      <c r="AL60" s="9" t="s">
        <v>34</v>
      </c>
      <c r="AM60" s="9" t="s">
        <v>96</v>
      </c>
      <c r="AN60" s="9" t="s">
        <v>97</v>
      </c>
      <c r="AO60" s="9">
        <v>67</v>
      </c>
      <c r="AP60" s="9" t="s">
        <v>109</v>
      </c>
      <c r="AQ60" s="9">
        <v>1</v>
      </c>
      <c r="AR60" s="9" t="s">
        <v>199</v>
      </c>
      <c r="AS60" s="9" t="s">
        <v>314</v>
      </c>
      <c r="AT60" s="9" t="s">
        <v>315</v>
      </c>
    </row>
    <row r="61" spans="1:46">
      <c r="A61" s="9" t="s">
        <v>316</v>
      </c>
      <c r="B61" s="8">
        <v>46167</v>
      </c>
      <c r="C61" s="9" t="s">
        <v>4</v>
      </c>
      <c r="D61" s="9" t="s">
        <v>103</v>
      </c>
      <c r="E61" s="9" t="s">
        <v>104</v>
      </c>
      <c r="F61" s="9" t="s">
        <v>34</v>
      </c>
      <c r="G61" s="9" t="s">
        <v>34</v>
      </c>
      <c r="H61" s="9" t="s">
        <v>34</v>
      </c>
      <c r="I61" s="9" t="s">
        <v>106</v>
      </c>
      <c r="J61" s="9" t="s">
        <v>34</v>
      </c>
      <c r="M61" s="9" t="s">
        <v>34</v>
      </c>
      <c r="O61" s="9" t="s">
        <v>263</v>
      </c>
      <c r="P61" s="9" t="s">
        <v>34</v>
      </c>
      <c r="Q61" s="9" t="s">
        <v>129</v>
      </c>
      <c r="R61" s="9" t="s">
        <v>33</v>
      </c>
      <c r="S61" s="9" t="s">
        <v>33</v>
      </c>
      <c r="U61" s="9" t="s">
        <v>33</v>
      </c>
      <c r="X61" s="9" t="s">
        <v>33</v>
      </c>
      <c r="AB61" s="9" t="s">
        <v>33</v>
      </c>
      <c r="AD61" s="9" t="s">
        <v>34</v>
      </c>
      <c r="AH61" s="9" t="s">
        <v>34</v>
      </c>
      <c r="AK61" s="9" t="s">
        <v>34</v>
      </c>
      <c r="AL61" s="9" t="s">
        <v>34</v>
      </c>
      <c r="AM61" s="9" t="s">
        <v>96</v>
      </c>
      <c r="AN61" s="9" t="s">
        <v>130</v>
      </c>
      <c r="AO61" s="9">
        <v>0</v>
      </c>
      <c r="AP61" s="9" t="s">
        <v>109</v>
      </c>
      <c r="AQ61" s="9">
        <v>1</v>
      </c>
      <c r="AR61" s="9" t="s">
        <v>199</v>
      </c>
      <c r="AS61" s="9" t="s">
        <v>317</v>
      </c>
      <c r="AT61" s="9" t="s">
        <v>318</v>
      </c>
    </row>
    <row r="62" spans="1:46">
      <c r="A62" s="9" t="s">
        <v>319</v>
      </c>
      <c r="B62" s="8">
        <v>46162</v>
      </c>
      <c r="C62" s="9" t="s">
        <v>5</v>
      </c>
      <c r="D62" s="9" t="s">
        <v>103</v>
      </c>
      <c r="E62" s="9" t="s">
        <v>104</v>
      </c>
      <c r="F62" s="9" t="s">
        <v>305</v>
      </c>
      <c r="G62" s="9" t="s">
        <v>33</v>
      </c>
      <c r="H62" s="9" t="s">
        <v>33</v>
      </c>
      <c r="I62" s="9" t="s">
        <v>106</v>
      </c>
      <c r="J62" s="9" t="s">
        <v>34</v>
      </c>
      <c r="M62" s="9" t="s">
        <v>34</v>
      </c>
      <c r="O62" s="9" t="s">
        <v>33</v>
      </c>
      <c r="P62" s="9" t="s">
        <v>34</v>
      </c>
      <c r="Q62" s="9" t="s">
        <v>320</v>
      </c>
      <c r="R62" s="9" t="s">
        <v>33</v>
      </c>
      <c r="S62" s="9" t="s">
        <v>33</v>
      </c>
      <c r="U62" s="9" t="s">
        <v>33</v>
      </c>
      <c r="X62" s="9" t="s">
        <v>33</v>
      </c>
      <c r="AB62" s="9" t="s">
        <v>34</v>
      </c>
      <c r="AD62" s="9" t="s">
        <v>34</v>
      </c>
      <c r="AH62" s="9" t="s">
        <v>34</v>
      </c>
      <c r="AK62" s="9" t="s">
        <v>34</v>
      </c>
      <c r="AL62" s="9" t="s">
        <v>34</v>
      </c>
      <c r="AM62" s="9" t="s">
        <v>96</v>
      </c>
      <c r="AN62" s="9" t="s">
        <v>130</v>
      </c>
      <c r="AO62" s="9">
        <v>15</v>
      </c>
      <c r="AP62" s="9" t="s">
        <v>109</v>
      </c>
      <c r="AQ62" s="9">
        <v>1</v>
      </c>
      <c r="AR62" s="9" t="s">
        <v>224</v>
      </c>
      <c r="AS62" s="9" t="s">
        <v>321</v>
      </c>
      <c r="AT62" s="9" t="s">
        <v>322</v>
      </c>
    </row>
    <row r="63" spans="1:46">
      <c r="A63" s="9" t="s">
        <v>323</v>
      </c>
      <c r="B63" s="8">
        <v>46157</v>
      </c>
      <c r="C63" s="9" t="s">
        <v>5</v>
      </c>
      <c r="D63" s="9" t="s">
        <v>103</v>
      </c>
      <c r="E63" s="9" t="s">
        <v>104</v>
      </c>
      <c r="F63" s="9" t="s">
        <v>305</v>
      </c>
      <c r="G63" s="9" t="s">
        <v>33</v>
      </c>
      <c r="H63" s="9" t="s">
        <v>33</v>
      </c>
      <c r="I63" s="9" t="s">
        <v>9</v>
      </c>
      <c r="J63" s="9" t="s">
        <v>34</v>
      </c>
      <c r="M63" s="9" t="s">
        <v>34</v>
      </c>
      <c r="O63" s="9" t="s">
        <v>33</v>
      </c>
      <c r="P63" s="9" t="s">
        <v>34</v>
      </c>
      <c r="Q63" s="9" t="s">
        <v>320</v>
      </c>
      <c r="R63" s="9" t="s">
        <v>33</v>
      </c>
      <c r="S63" s="9" t="s">
        <v>33</v>
      </c>
      <c r="U63" s="9" t="s">
        <v>33</v>
      </c>
      <c r="X63" s="9" t="s">
        <v>33</v>
      </c>
      <c r="AB63" s="9" t="s">
        <v>34</v>
      </c>
      <c r="AD63" s="9" t="s">
        <v>34</v>
      </c>
      <c r="AH63" s="9" t="s">
        <v>34</v>
      </c>
      <c r="AK63" s="9" t="s">
        <v>34</v>
      </c>
      <c r="AL63" s="9" t="s">
        <v>34</v>
      </c>
      <c r="AM63" s="9" t="s">
        <v>96</v>
      </c>
      <c r="AN63" s="9" t="s">
        <v>130</v>
      </c>
      <c r="AO63" s="9">
        <v>15</v>
      </c>
      <c r="AP63" s="9" t="s">
        <v>109</v>
      </c>
      <c r="AQ63" s="9">
        <v>1</v>
      </c>
      <c r="AR63" s="9" t="s">
        <v>199</v>
      </c>
      <c r="AS63" s="9" t="s">
        <v>324</v>
      </c>
      <c r="AT63" s="9" t="s">
        <v>325</v>
      </c>
    </row>
    <row r="64" spans="1:46">
      <c r="A64" s="9" t="s">
        <v>326</v>
      </c>
      <c r="B64" s="8">
        <v>46157</v>
      </c>
      <c r="C64" s="9" t="s">
        <v>4</v>
      </c>
      <c r="D64" s="9" t="s">
        <v>103</v>
      </c>
      <c r="E64" s="9" t="s">
        <v>104</v>
      </c>
      <c r="F64" s="9" t="s">
        <v>34</v>
      </c>
      <c r="G64" s="9" t="s">
        <v>34</v>
      </c>
      <c r="H64" s="9" t="s">
        <v>34</v>
      </c>
      <c r="I64" s="9" t="s">
        <v>106</v>
      </c>
      <c r="J64" s="9" t="s">
        <v>34</v>
      </c>
      <c r="M64" s="9" t="s">
        <v>34</v>
      </c>
      <c r="O64" s="9" t="s">
        <v>263</v>
      </c>
      <c r="P64" s="9" t="s">
        <v>34</v>
      </c>
      <c r="Q64" s="9" t="s">
        <v>129</v>
      </c>
      <c r="R64" s="9" t="s">
        <v>33</v>
      </c>
      <c r="S64" s="9" t="s">
        <v>33</v>
      </c>
      <c r="U64" s="9" t="s">
        <v>33</v>
      </c>
      <c r="X64" s="9" t="s">
        <v>33</v>
      </c>
      <c r="AB64" s="9" t="s">
        <v>33</v>
      </c>
      <c r="AD64" s="9" t="s">
        <v>34</v>
      </c>
      <c r="AH64" s="9" t="s">
        <v>34</v>
      </c>
      <c r="AK64" s="9" t="s">
        <v>34</v>
      </c>
      <c r="AL64" s="9" t="s">
        <v>34</v>
      </c>
      <c r="AM64" s="9" t="s">
        <v>96</v>
      </c>
      <c r="AN64" s="9" t="s">
        <v>130</v>
      </c>
      <c r="AO64" s="9">
        <v>0</v>
      </c>
      <c r="AP64" s="9" t="s">
        <v>109</v>
      </c>
      <c r="AQ64" s="9">
        <v>1</v>
      </c>
      <c r="AR64" s="9" t="s">
        <v>299</v>
      </c>
      <c r="AS64" s="9" t="s">
        <v>327</v>
      </c>
      <c r="AT64" s="9" t="s">
        <v>328</v>
      </c>
    </row>
    <row r="65" spans="1:46">
      <c r="A65" s="9" t="s">
        <v>329</v>
      </c>
      <c r="B65" s="8">
        <v>46150</v>
      </c>
      <c r="C65" s="9" t="s">
        <v>6</v>
      </c>
      <c r="D65" s="9" t="s">
        <v>103</v>
      </c>
      <c r="E65" s="9" t="s">
        <v>104</v>
      </c>
      <c r="F65" s="9" t="s">
        <v>330</v>
      </c>
      <c r="G65" s="9" t="s">
        <v>33</v>
      </c>
      <c r="H65" s="9" t="s">
        <v>33</v>
      </c>
      <c r="I65" s="9" t="s">
        <v>106</v>
      </c>
      <c r="J65" s="9" t="s">
        <v>94</v>
      </c>
      <c r="K65" s="10">
        <v>1900000000</v>
      </c>
      <c r="M65" s="9" t="s">
        <v>39</v>
      </c>
      <c r="O65" s="9" t="s">
        <v>33</v>
      </c>
      <c r="P65" s="9" t="s">
        <v>34</v>
      </c>
      <c r="Q65" s="9" t="s">
        <v>108</v>
      </c>
      <c r="R65" s="9" t="s">
        <v>34</v>
      </c>
      <c r="S65" s="9" t="s">
        <v>34</v>
      </c>
      <c r="U65" s="9" t="s">
        <v>34</v>
      </c>
      <c r="X65" s="9" t="s">
        <v>34</v>
      </c>
      <c r="AB65" s="9" t="s">
        <v>33</v>
      </c>
      <c r="AD65" s="9" t="s">
        <v>34</v>
      </c>
      <c r="AH65" s="9" t="s">
        <v>34</v>
      </c>
      <c r="AK65" s="9" t="s">
        <v>34</v>
      </c>
      <c r="AL65" s="9" t="s">
        <v>34</v>
      </c>
      <c r="AM65" s="9" t="s">
        <v>96</v>
      </c>
      <c r="AN65" s="9" t="s">
        <v>130</v>
      </c>
      <c r="AO65" s="9">
        <v>7</v>
      </c>
      <c r="AP65" s="9" t="s">
        <v>109</v>
      </c>
      <c r="AQ65" s="9">
        <v>1</v>
      </c>
      <c r="AR65" s="9" t="s">
        <v>299</v>
      </c>
      <c r="AS65" s="9" t="s">
        <v>331</v>
      </c>
      <c r="AT65" s="9" t="s">
        <v>332</v>
      </c>
    </row>
    <row r="66" spans="1:46">
      <c r="A66" s="9" t="s">
        <v>333</v>
      </c>
      <c r="B66" s="8">
        <v>46147</v>
      </c>
      <c r="C66" s="9" t="s">
        <v>5</v>
      </c>
      <c r="D66" s="9" t="s">
        <v>103</v>
      </c>
      <c r="E66" s="9" t="s">
        <v>104</v>
      </c>
      <c r="F66" s="9" t="s">
        <v>42</v>
      </c>
      <c r="G66" s="9" t="s">
        <v>33</v>
      </c>
      <c r="H66" s="9" t="s">
        <v>33</v>
      </c>
      <c r="I66" s="9" t="s">
        <v>106</v>
      </c>
      <c r="J66" s="9" t="s">
        <v>94</v>
      </c>
      <c r="K66" s="10">
        <v>50000000000</v>
      </c>
      <c r="M66" s="9" t="s">
        <v>39</v>
      </c>
      <c r="O66" s="9" t="s">
        <v>33</v>
      </c>
      <c r="P66" s="9" t="s">
        <v>34</v>
      </c>
      <c r="Q66" s="9" t="s">
        <v>320</v>
      </c>
      <c r="R66" s="9" t="s">
        <v>33</v>
      </c>
      <c r="S66" s="9" t="s">
        <v>33</v>
      </c>
      <c r="U66" s="9" t="s">
        <v>33</v>
      </c>
      <c r="X66" s="9" t="s">
        <v>33</v>
      </c>
      <c r="AB66" s="9" t="s">
        <v>34</v>
      </c>
      <c r="AD66" s="9" t="s">
        <v>34</v>
      </c>
      <c r="AH66" s="9" t="s">
        <v>34</v>
      </c>
      <c r="AK66" s="9" t="s">
        <v>34</v>
      </c>
      <c r="AL66" s="9" t="s">
        <v>34</v>
      </c>
      <c r="AM66" s="9" t="s">
        <v>96</v>
      </c>
      <c r="AN66" s="9" t="s">
        <v>130</v>
      </c>
      <c r="AO66" s="9">
        <v>15</v>
      </c>
      <c r="AP66" s="9" t="s">
        <v>109</v>
      </c>
      <c r="AQ66" s="9">
        <v>1</v>
      </c>
      <c r="AR66" s="9" t="s">
        <v>224</v>
      </c>
      <c r="AS66" s="9" t="s">
        <v>334</v>
      </c>
      <c r="AT66" s="9" t="s">
        <v>335</v>
      </c>
    </row>
    <row r="67" spans="1:46">
      <c r="A67" s="9" t="s">
        <v>336</v>
      </c>
      <c r="B67" s="8">
        <v>46146</v>
      </c>
      <c r="C67" s="9" t="s">
        <v>5</v>
      </c>
      <c r="D67" s="9" t="s">
        <v>103</v>
      </c>
      <c r="E67" s="9" t="s">
        <v>104</v>
      </c>
      <c r="F67" s="9" t="s">
        <v>42</v>
      </c>
      <c r="G67" s="9" t="s">
        <v>33</v>
      </c>
      <c r="H67" s="9" t="s">
        <v>33</v>
      </c>
      <c r="I67" s="9" t="s">
        <v>337</v>
      </c>
      <c r="J67" s="9" t="s">
        <v>34</v>
      </c>
      <c r="M67" s="9" t="s">
        <v>34</v>
      </c>
      <c r="O67" s="9" t="s">
        <v>33</v>
      </c>
      <c r="P67" s="9" t="s">
        <v>34</v>
      </c>
      <c r="Q67" s="9" t="s">
        <v>320</v>
      </c>
      <c r="R67" s="9" t="s">
        <v>33</v>
      </c>
      <c r="S67" s="9" t="s">
        <v>33</v>
      </c>
      <c r="U67" s="9" t="s">
        <v>33</v>
      </c>
      <c r="X67" s="9" t="s">
        <v>33</v>
      </c>
      <c r="AB67" s="9" t="s">
        <v>34</v>
      </c>
      <c r="AD67" s="9" t="s">
        <v>34</v>
      </c>
      <c r="AH67" s="9" t="s">
        <v>34</v>
      </c>
      <c r="AK67" s="9" t="s">
        <v>34</v>
      </c>
      <c r="AL67" s="9" t="s">
        <v>34</v>
      </c>
      <c r="AM67" s="9" t="s">
        <v>96</v>
      </c>
      <c r="AN67" s="9" t="s">
        <v>130</v>
      </c>
      <c r="AO67" s="9">
        <v>15</v>
      </c>
      <c r="AP67" s="9" t="s">
        <v>109</v>
      </c>
      <c r="AQ67" s="9">
        <v>1</v>
      </c>
      <c r="AR67" s="9" t="s">
        <v>338</v>
      </c>
      <c r="AS67" s="9" t="s">
        <v>339</v>
      </c>
      <c r="AT67" s="9" t="s">
        <v>340</v>
      </c>
    </row>
    <row r="68" spans="1:46">
      <c r="A68" s="9" t="s">
        <v>341</v>
      </c>
      <c r="B68" s="8">
        <v>46139</v>
      </c>
      <c r="C68" s="9" t="s">
        <v>4</v>
      </c>
      <c r="D68" s="9" t="s">
        <v>103</v>
      </c>
      <c r="E68" s="9" t="s">
        <v>104</v>
      </c>
      <c r="F68" s="9" t="s">
        <v>34</v>
      </c>
      <c r="G68" s="9" t="s">
        <v>34</v>
      </c>
      <c r="H68" s="9" t="s">
        <v>34</v>
      </c>
      <c r="I68" s="9" t="s">
        <v>9</v>
      </c>
      <c r="J68" s="9" t="s">
        <v>34</v>
      </c>
      <c r="M68" s="9" t="s">
        <v>34</v>
      </c>
      <c r="O68" s="9" t="s">
        <v>263</v>
      </c>
      <c r="P68" s="9" t="s">
        <v>34</v>
      </c>
      <c r="Q68" s="9" t="s">
        <v>129</v>
      </c>
      <c r="R68" s="9" t="s">
        <v>33</v>
      </c>
      <c r="S68" s="9" t="s">
        <v>33</v>
      </c>
      <c r="U68" s="9" t="s">
        <v>33</v>
      </c>
      <c r="X68" s="9" t="s">
        <v>33</v>
      </c>
      <c r="AB68" s="9" t="s">
        <v>33</v>
      </c>
      <c r="AD68" s="9" t="s">
        <v>34</v>
      </c>
      <c r="AH68" s="9" t="s">
        <v>34</v>
      </c>
      <c r="AK68" s="9" t="s">
        <v>34</v>
      </c>
      <c r="AL68" s="9" t="s">
        <v>34</v>
      </c>
      <c r="AM68" s="9" t="s">
        <v>96</v>
      </c>
      <c r="AN68" s="9" t="s">
        <v>130</v>
      </c>
      <c r="AO68" s="9">
        <v>0</v>
      </c>
      <c r="AP68" s="9" t="s">
        <v>109</v>
      </c>
      <c r="AQ68" s="9">
        <v>1</v>
      </c>
      <c r="AR68" s="9" t="s">
        <v>136</v>
      </c>
      <c r="AS68" s="9" t="s">
        <v>342</v>
      </c>
      <c r="AT68" s="9" t="s">
        <v>343</v>
      </c>
    </row>
    <row r="69" spans="1:46">
      <c r="A69" s="9" t="s">
        <v>344</v>
      </c>
      <c r="B69" s="8">
        <v>46139</v>
      </c>
      <c r="C69" s="9" t="s">
        <v>4</v>
      </c>
      <c r="D69" s="9" t="s">
        <v>103</v>
      </c>
      <c r="E69" s="9" t="s">
        <v>104</v>
      </c>
      <c r="F69" s="9" t="s">
        <v>34</v>
      </c>
      <c r="G69" s="9" t="s">
        <v>34</v>
      </c>
      <c r="H69" s="9" t="s">
        <v>34</v>
      </c>
      <c r="I69" s="9" t="s">
        <v>9</v>
      </c>
      <c r="J69" s="9" t="s">
        <v>34</v>
      </c>
      <c r="M69" s="9" t="s">
        <v>34</v>
      </c>
      <c r="O69" s="9" t="s">
        <v>263</v>
      </c>
      <c r="P69" s="9" t="s">
        <v>34</v>
      </c>
      <c r="Q69" s="9" t="s">
        <v>129</v>
      </c>
      <c r="R69" s="9" t="s">
        <v>33</v>
      </c>
      <c r="S69" s="9" t="s">
        <v>33</v>
      </c>
      <c r="U69" s="9" t="s">
        <v>33</v>
      </c>
      <c r="X69" s="9" t="s">
        <v>33</v>
      </c>
      <c r="AB69" s="9" t="s">
        <v>33</v>
      </c>
      <c r="AD69" s="9" t="s">
        <v>34</v>
      </c>
      <c r="AH69" s="9" t="s">
        <v>34</v>
      </c>
      <c r="AK69" s="9" t="s">
        <v>34</v>
      </c>
      <c r="AL69" s="9" t="s">
        <v>34</v>
      </c>
      <c r="AM69" s="9" t="s">
        <v>96</v>
      </c>
      <c r="AN69" s="9" t="s">
        <v>130</v>
      </c>
      <c r="AO69" s="9">
        <v>0</v>
      </c>
      <c r="AP69" s="9" t="s">
        <v>109</v>
      </c>
      <c r="AQ69" s="9">
        <v>1</v>
      </c>
      <c r="AR69" s="9" t="s">
        <v>224</v>
      </c>
      <c r="AS69" s="9" t="s">
        <v>345</v>
      </c>
      <c r="AT69" s="9" t="s">
        <v>346</v>
      </c>
    </row>
    <row r="70" spans="1:46">
      <c r="A70" s="9" t="s">
        <v>347</v>
      </c>
      <c r="B70" s="8">
        <v>46139</v>
      </c>
      <c r="C70" s="9" t="s">
        <v>4</v>
      </c>
      <c r="D70" s="9" t="s">
        <v>103</v>
      </c>
      <c r="E70" s="9" t="s">
        <v>104</v>
      </c>
      <c r="F70" s="9" t="s">
        <v>34</v>
      </c>
      <c r="G70" s="9" t="s">
        <v>34</v>
      </c>
      <c r="H70" s="9" t="s">
        <v>34</v>
      </c>
      <c r="I70" s="9" t="s">
        <v>9</v>
      </c>
      <c r="J70" s="9" t="s">
        <v>94</v>
      </c>
      <c r="M70" s="9" t="s">
        <v>34</v>
      </c>
      <c r="O70" s="9" t="s">
        <v>263</v>
      </c>
      <c r="P70" s="9" t="s">
        <v>34</v>
      </c>
      <c r="Q70" s="9" t="s">
        <v>129</v>
      </c>
      <c r="R70" s="9" t="s">
        <v>33</v>
      </c>
      <c r="S70" s="9" t="s">
        <v>33</v>
      </c>
      <c r="U70" s="9" t="s">
        <v>33</v>
      </c>
      <c r="X70" s="9" t="s">
        <v>33</v>
      </c>
      <c r="AB70" s="9" t="s">
        <v>33</v>
      </c>
      <c r="AD70" s="9" t="s">
        <v>34</v>
      </c>
      <c r="AH70" s="9" t="s">
        <v>34</v>
      </c>
      <c r="AK70" s="9" t="s">
        <v>34</v>
      </c>
      <c r="AL70" s="9" t="s">
        <v>34</v>
      </c>
      <c r="AM70" s="9" t="s">
        <v>96</v>
      </c>
      <c r="AN70" s="9" t="s">
        <v>130</v>
      </c>
      <c r="AO70" s="9">
        <v>0</v>
      </c>
      <c r="AP70" s="9" t="s">
        <v>109</v>
      </c>
      <c r="AQ70" s="9">
        <v>3</v>
      </c>
      <c r="AR70" s="9" t="s">
        <v>348</v>
      </c>
      <c r="AS70" s="9" t="s">
        <v>349</v>
      </c>
      <c r="AT70" s="9" t="s">
        <v>350</v>
      </c>
    </row>
    <row r="71" spans="1:46">
      <c r="A71" s="9" t="s">
        <v>351</v>
      </c>
      <c r="B71" s="8">
        <v>46139</v>
      </c>
      <c r="C71" s="9" t="s">
        <v>4</v>
      </c>
      <c r="D71" s="9" t="s">
        <v>103</v>
      </c>
      <c r="E71" s="9" t="s">
        <v>104</v>
      </c>
      <c r="F71" s="9" t="s">
        <v>34</v>
      </c>
      <c r="G71" s="9" t="s">
        <v>34</v>
      </c>
      <c r="H71" s="9" t="s">
        <v>34</v>
      </c>
      <c r="I71" s="9" t="s">
        <v>9</v>
      </c>
      <c r="J71" s="9" t="s">
        <v>34</v>
      </c>
      <c r="M71" s="9" t="s">
        <v>34</v>
      </c>
      <c r="O71" s="9" t="s">
        <v>263</v>
      </c>
      <c r="P71" s="9" t="s">
        <v>34</v>
      </c>
      <c r="Q71" s="9" t="s">
        <v>129</v>
      </c>
      <c r="R71" s="9" t="s">
        <v>33</v>
      </c>
      <c r="S71" s="9" t="s">
        <v>33</v>
      </c>
      <c r="U71" s="9" t="s">
        <v>33</v>
      </c>
      <c r="X71" s="9" t="s">
        <v>33</v>
      </c>
      <c r="AB71" s="9" t="s">
        <v>33</v>
      </c>
      <c r="AD71" s="9" t="s">
        <v>34</v>
      </c>
      <c r="AH71" s="9" t="s">
        <v>34</v>
      </c>
      <c r="AK71" s="9" t="s">
        <v>34</v>
      </c>
      <c r="AL71" s="9" t="s">
        <v>34</v>
      </c>
      <c r="AM71" s="9" t="s">
        <v>96</v>
      </c>
      <c r="AN71" s="9" t="s">
        <v>130</v>
      </c>
      <c r="AO71" s="9">
        <v>0</v>
      </c>
      <c r="AP71" s="9" t="s">
        <v>109</v>
      </c>
      <c r="AQ71" s="9">
        <v>1</v>
      </c>
      <c r="AR71" s="9" t="s">
        <v>352</v>
      </c>
      <c r="AS71" s="9" t="s">
        <v>353</v>
      </c>
      <c r="AT71" s="9" t="s">
        <v>354</v>
      </c>
    </row>
    <row r="72" spans="1:46">
      <c r="A72" s="9" t="s">
        <v>355</v>
      </c>
      <c r="B72" s="8">
        <v>46139</v>
      </c>
      <c r="C72" s="9" t="s">
        <v>4</v>
      </c>
      <c r="D72" s="9" t="s">
        <v>103</v>
      </c>
      <c r="E72" s="9" t="s">
        <v>104</v>
      </c>
      <c r="F72" s="9" t="s">
        <v>34</v>
      </c>
      <c r="G72" s="9" t="s">
        <v>34</v>
      </c>
      <c r="H72" s="9" t="s">
        <v>34</v>
      </c>
      <c r="I72" s="9" t="s">
        <v>9</v>
      </c>
      <c r="J72" s="9" t="s">
        <v>34</v>
      </c>
      <c r="M72" s="9" t="s">
        <v>34</v>
      </c>
      <c r="O72" s="9" t="s">
        <v>34</v>
      </c>
      <c r="P72" s="9" t="s">
        <v>34</v>
      </c>
      <c r="Q72" s="9" t="s">
        <v>129</v>
      </c>
      <c r="R72" s="9" t="s">
        <v>33</v>
      </c>
      <c r="S72" s="9" t="s">
        <v>33</v>
      </c>
      <c r="U72" s="9" t="s">
        <v>33</v>
      </c>
      <c r="X72" s="9" t="s">
        <v>33</v>
      </c>
      <c r="AB72" s="9" t="s">
        <v>33</v>
      </c>
      <c r="AD72" s="9" t="s">
        <v>34</v>
      </c>
      <c r="AH72" s="9" t="s">
        <v>34</v>
      </c>
      <c r="AK72" s="9" t="s">
        <v>34</v>
      </c>
      <c r="AL72" s="9" t="s">
        <v>34</v>
      </c>
      <c r="AM72" s="9" t="s">
        <v>96</v>
      </c>
      <c r="AN72" s="9" t="s">
        <v>130</v>
      </c>
      <c r="AO72" s="9">
        <v>0</v>
      </c>
      <c r="AP72" s="9" t="s">
        <v>109</v>
      </c>
      <c r="AQ72" s="9">
        <v>1</v>
      </c>
      <c r="AR72" s="9" t="s">
        <v>356</v>
      </c>
      <c r="AS72" s="9" t="s">
        <v>357</v>
      </c>
      <c r="AT72" s="9" t="s">
        <v>358</v>
      </c>
    </row>
    <row r="73" spans="1:46">
      <c r="A73" s="9" t="s">
        <v>359</v>
      </c>
      <c r="B73" s="8">
        <v>46132</v>
      </c>
      <c r="C73" s="9" t="s">
        <v>6</v>
      </c>
      <c r="D73" s="9" t="s">
        <v>103</v>
      </c>
      <c r="E73" s="9" t="s">
        <v>104</v>
      </c>
      <c r="F73" s="9" t="s">
        <v>305</v>
      </c>
      <c r="G73" s="9" t="s">
        <v>33</v>
      </c>
      <c r="H73" s="9" t="s">
        <v>33</v>
      </c>
      <c r="I73" s="9" t="s">
        <v>9</v>
      </c>
      <c r="J73" s="9" t="s">
        <v>34</v>
      </c>
      <c r="M73" s="9" t="s">
        <v>34</v>
      </c>
      <c r="O73" s="9" t="s">
        <v>33</v>
      </c>
      <c r="P73" s="9" t="s">
        <v>34</v>
      </c>
      <c r="Q73" s="9" t="s">
        <v>108</v>
      </c>
      <c r="R73" s="9" t="s">
        <v>34</v>
      </c>
      <c r="S73" s="9" t="s">
        <v>34</v>
      </c>
      <c r="U73" s="9" t="s">
        <v>34</v>
      </c>
      <c r="X73" s="9" t="s">
        <v>34</v>
      </c>
      <c r="AB73" s="9" t="s">
        <v>33</v>
      </c>
      <c r="AD73" s="9" t="s">
        <v>34</v>
      </c>
      <c r="AH73" s="9" t="s">
        <v>34</v>
      </c>
      <c r="AK73" s="9" t="s">
        <v>34</v>
      </c>
      <c r="AL73" s="9" t="s">
        <v>34</v>
      </c>
      <c r="AM73" s="9" t="s">
        <v>96</v>
      </c>
      <c r="AN73" s="9" t="s">
        <v>130</v>
      </c>
      <c r="AO73" s="9">
        <v>15</v>
      </c>
      <c r="AP73" s="9" t="s">
        <v>109</v>
      </c>
      <c r="AQ73" s="9">
        <v>1</v>
      </c>
      <c r="AR73" s="9" t="s">
        <v>149</v>
      </c>
      <c r="AS73" s="9" t="s">
        <v>360</v>
      </c>
      <c r="AT73" s="9" t="s">
        <v>361</v>
      </c>
    </row>
    <row r="74" spans="1:46">
      <c r="A74" s="9" t="s">
        <v>362</v>
      </c>
      <c r="B74" s="8">
        <v>46132</v>
      </c>
      <c r="C74" s="9" t="s">
        <v>5</v>
      </c>
      <c r="D74" s="9" t="s">
        <v>103</v>
      </c>
      <c r="E74" s="9" t="s">
        <v>104</v>
      </c>
      <c r="F74" s="9" t="s">
        <v>42</v>
      </c>
      <c r="G74" s="9" t="s">
        <v>33</v>
      </c>
      <c r="H74" s="9" t="s">
        <v>33</v>
      </c>
      <c r="I74" s="9" t="s">
        <v>106</v>
      </c>
      <c r="J74" s="9" t="s">
        <v>94</v>
      </c>
      <c r="M74" s="9" t="s">
        <v>34</v>
      </c>
      <c r="O74" s="9" t="s">
        <v>33</v>
      </c>
      <c r="P74" s="9" t="s">
        <v>34</v>
      </c>
      <c r="Q74" s="9" t="s">
        <v>320</v>
      </c>
      <c r="R74" s="9" t="s">
        <v>33</v>
      </c>
      <c r="S74" s="9" t="s">
        <v>33</v>
      </c>
      <c r="U74" s="9" t="s">
        <v>33</v>
      </c>
      <c r="X74" s="9" t="s">
        <v>33</v>
      </c>
      <c r="AB74" s="9" t="s">
        <v>34</v>
      </c>
      <c r="AD74" s="9" t="s">
        <v>34</v>
      </c>
      <c r="AH74" s="9" t="s">
        <v>34</v>
      </c>
      <c r="AK74" s="9" t="s">
        <v>34</v>
      </c>
      <c r="AL74" s="9" t="s">
        <v>34</v>
      </c>
      <c r="AM74" s="9" t="s">
        <v>96</v>
      </c>
      <c r="AN74" s="9" t="s">
        <v>130</v>
      </c>
      <c r="AO74" s="9">
        <v>15</v>
      </c>
      <c r="AP74" s="9" t="s">
        <v>109</v>
      </c>
      <c r="AQ74" s="9">
        <v>2</v>
      </c>
      <c r="AR74" s="9" t="s">
        <v>363</v>
      </c>
      <c r="AS74" s="9" t="s">
        <v>364</v>
      </c>
      <c r="AT74" s="9" t="s">
        <v>365</v>
      </c>
    </row>
    <row r="75" spans="1:46">
      <c r="A75" s="9" t="s">
        <v>366</v>
      </c>
      <c r="B75" s="8">
        <v>46132</v>
      </c>
      <c r="C75" s="9" t="s">
        <v>5</v>
      </c>
      <c r="D75" s="9" t="s">
        <v>103</v>
      </c>
      <c r="E75" s="9" t="s">
        <v>104</v>
      </c>
      <c r="F75" s="9" t="s">
        <v>42</v>
      </c>
      <c r="G75" s="9" t="s">
        <v>33</v>
      </c>
      <c r="H75" s="9" t="s">
        <v>33</v>
      </c>
      <c r="I75" s="9" t="s">
        <v>106</v>
      </c>
      <c r="J75" s="9" t="s">
        <v>34</v>
      </c>
      <c r="M75" s="9" t="s">
        <v>34</v>
      </c>
      <c r="O75" s="9" t="s">
        <v>33</v>
      </c>
      <c r="P75" s="9" t="s">
        <v>34</v>
      </c>
      <c r="Q75" s="9" t="s">
        <v>320</v>
      </c>
      <c r="R75" s="9" t="s">
        <v>33</v>
      </c>
      <c r="S75" s="9" t="s">
        <v>33</v>
      </c>
      <c r="U75" s="9" t="s">
        <v>33</v>
      </c>
      <c r="X75" s="9" t="s">
        <v>33</v>
      </c>
      <c r="AB75" s="9" t="s">
        <v>34</v>
      </c>
      <c r="AD75" s="9" t="s">
        <v>34</v>
      </c>
      <c r="AH75" s="9" t="s">
        <v>34</v>
      </c>
      <c r="AK75" s="9" t="s">
        <v>34</v>
      </c>
      <c r="AL75" s="9" t="s">
        <v>34</v>
      </c>
      <c r="AM75" s="9" t="s">
        <v>96</v>
      </c>
      <c r="AN75" s="9" t="s">
        <v>130</v>
      </c>
      <c r="AO75" s="9">
        <v>15</v>
      </c>
      <c r="AP75" s="9" t="s">
        <v>109</v>
      </c>
      <c r="AQ75" s="9">
        <v>1</v>
      </c>
      <c r="AR75" s="9" t="s">
        <v>367</v>
      </c>
      <c r="AS75" s="9" t="s">
        <v>368</v>
      </c>
      <c r="AT75" s="9" t="s">
        <v>369</v>
      </c>
    </row>
    <row r="76" spans="1:46">
      <c r="A76" s="9" t="s">
        <v>370</v>
      </c>
      <c r="B76" s="8">
        <v>46128</v>
      </c>
      <c r="C76" s="9" t="s">
        <v>4</v>
      </c>
      <c r="D76" s="9" t="s">
        <v>103</v>
      </c>
      <c r="E76" s="9" t="s">
        <v>104</v>
      </c>
      <c r="F76" s="9" t="s">
        <v>371</v>
      </c>
      <c r="G76" s="9" t="s">
        <v>34</v>
      </c>
      <c r="H76" s="9" t="s">
        <v>372</v>
      </c>
      <c r="I76" s="9" t="s">
        <v>9</v>
      </c>
      <c r="J76" s="9" t="s">
        <v>34</v>
      </c>
      <c r="K76" s="10">
        <v>21200000000</v>
      </c>
      <c r="M76" s="9" t="s">
        <v>39</v>
      </c>
      <c r="N76" s="11">
        <v>0.25</v>
      </c>
      <c r="O76" s="9" t="s">
        <v>263</v>
      </c>
      <c r="P76" s="9" t="s">
        <v>34</v>
      </c>
      <c r="Q76" s="9" t="s">
        <v>129</v>
      </c>
      <c r="R76" s="9" t="s">
        <v>33</v>
      </c>
      <c r="S76" s="9" t="s">
        <v>33</v>
      </c>
      <c r="U76" s="9" t="s">
        <v>33</v>
      </c>
      <c r="X76" s="9" t="s">
        <v>33</v>
      </c>
      <c r="AB76" s="9" t="s">
        <v>33</v>
      </c>
      <c r="AD76" s="9" t="s">
        <v>34</v>
      </c>
      <c r="AH76" s="9" t="s">
        <v>34</v>
      </c>
      <c r="AK76" s="9" t="s">
        <v>34</v>
      </c>
      <c r="AL76" s="9" t="s">
        <v>34</v>
      </c>
      <c r="AM76" s="9" t="s">
        <v>96</v>
      </c>
      <c r="AN76" s="9" t="s">
        <v>97</v>
      </c>
      <c r="AO76" s="9">
        <v>60</v>
      </c>
      <c r="AP76" s="9" t="s">
        <v>109</v>
      </c>
      <c r="AQ76" s="9">
        <v>3</v>
      </c>
      <c r="AR76" s="9" t="s">
        <v>367</v>
      </c>
      <c r="AS76" s="9" t="s">
        <v>373</v>
      </c>
      <c r="AT76" s="9" t="s">
        <v>374</v>
      </c>
    </row>
    <row r="77" spans="1:46">
      <c r="A77" s="9" t="s">
        <v>375</v>
      </c>
      <c r="B77" s="8">
        <v>46122</v>
      </c>
      <c r="C77" s="9" t="s">
        <v>6</v>
      </c>
      <c r="D77" s="9" t="s">
        <v>103</v>
      </c>
      <c r="E77" s="9" t="s">
        <v>104</v>
      </c>
      <c r="F77" s="9" t="s">
        <v>372</v>
      </c>
      <c r="G77" s="9" t="s">
        <v>33</v>
      </c>
      <c r="H77" s="9" t="s">
        <v>33</v>
      </c>
      <c r="I77" s="9" t="s">
        <v>106</v>
      </c>
      <c r="J77" s="9" t="s">
        <v>34</v>
      </c>
      <c r="M77" s="9" t="s">
        <v>34</v>
      </c>
      <c r="O77" s="9" t="s">
        <v>33</v>
      </c>
      <c r="P77" s="9" t="s">
        <v>34</v>
      </c>
      <c r="Q77" s="9" t="s">
        <v>108</v>
      </c>
      <c r="R77" s="9" t="s">
        <v>34</v>
      </c>
      <c r="S77" s="9" t="s">
        <v>34</v>
      </c>
      <c r="U77" s="9" t="s">
        <v>34</v>
      </c>
      <c r="X77" s="9" t="s">
        <v>34</v>
      </c>
      <c r="AB77" s="9" t="s">
        <v>33</v>
      </c>
      <c r="AD77" s="9" t="s">
        <v>34</v>
      </c>
      <c r="AH77" s="9" t="s">
        <v>34</v>
      </c>
      <c r="AK77" s="9" t="s">
        <v>34</v>
      </c>
      <c r="AL77" s="9" t="s">
        <v>34</v>
      </c>
      <c r="AM77" s="9" t="s">
        <v>96</v>
      </c>
      <c r="AN77" s="9" t="s">
        <v>97</v>
      </c>
      <c r="AO77" s="9">
        <v>75</v>
      </c>
      <c r="AP77" s="9" t="s">
        <v>109</v>
      </c>
      <c r="AQ77" s="9">
        <v>1</v>
      </c>
      <c r="AR77" s="9" t="s">
        <v>199</v>
      </c>
      <c r="AS77" s="9" t="s">
        <v>376</v>
      </c>
      <c r="AT77" s="9" t="s">
        <v>377</v>
      </c>
    </row>
    <row r="78" spans="1:46">
      <c r="A78" s="9" t="s">
        <v>378</v>
      </c>
      <c r="B78" s="8">
        <v>46122</v>
      </c>
      <c r="C78" s="9" t="s">
        <v>5</v>
      </c>
      <c r="D78" s="9" t="s">
        <v>103</v>
      </c>
      <c r="E78" s="9" t="s">
        <v>104</v>
      </c>
      <c r="F78" s="9" t="s">
        <v>305</v>
      </c>
      <c r="G78" s="9" t="s">
        <v>33</v>
      </c>
      <c r="H78" s="9" t="s">
        <v>33</v>
      </c>
      <c r="I78" s="9" t="s">
        <v>9</v>
      </c>
      <c r="J78" s="9" t="s">
        <v>34</v>
      </c>
      <c r="M78" s="9" t="s">
        <v>34</v>
      </c>
      <c r="O78" s="9" t="s">
        <v>33</v>
      </c>
      <c r="P78" s="9" t="s">
        <v>34</v>
      </c>
      <c r="Q78" s="9" t="s">
        <v>320</v>
      </c>
      <c r="R78" s="9" t="s">
        <v>33</v>
      </c>
      <c r="S78" s="9" t="s">
        <v>33</v>
      </c>
      <c r="U78" s="9" t="s">
        <v>33</v>
      </c>
      <c r="X78" s="9" t="s">
        <v>33</v>
      </c>
      <c r="AB78" s="9" t="s">
        <v>34</v>
      </c>
      <c r="AD78" s="9" t="s">
        <v>34</v>
      </c>
      <c r="AH78" s="9" t="s">
        <v>34</v>
      </c>
      <c r="AK78" s="9" t="s">
        <v>34</v>
      </c>
      <c r="AL78" s="9" t="s">
        <v>34</v>
      </c>
      <c r="AM78" s="9" t="s">
        <v>96</v>
      </c>
      <c r="AN78" s="9" t="s">
        <v>130</v>
      </c>
      <c r="AO78" s="9">
        <v>15</v>
      </c>
      <c r="AP78" s="9" t="s">
        <v>109</v>
      </c>
      <c r="AQ78" s="9">
        <v>1</v>
      </c>
      <c r="AR78" s="9" t="s">
        <v>149</v>
      </c>
      <c r="AS78" s="9" t="s">
        <v>379</v>
      </c>
      <c r="AT78" s="9" t="s">
        <v>380</v>
      </c>
    </row>
    <row r="79" spans="1:46">
      <c r="A79" s="9" t="s">
        <v>381</v>
      </c>
      <c r="B79" s="8">
        <v>46115</v>
      </c>
      <c r="C79" s="9" t="s">
        <v>6</v>
      </c>
      <c r="D79" s="9" t="s">
        <v>103</v>
      </c>
      <c r="E79" s="9" t="s">
        <v>153</v>
      </c>
      <c r="F79" s="9" t="s">
        <v>305</v>
      </c>
      <c r="G79" s="9" t="s">
        <v>33</v>
      </c>
      <c r="H79" s="9" t="s">
        <v>33</v>
      </c>
      <c r="I79" s="9" t="s">
        <v>106</v>
      </c>
      <c r="J79" s="9" t="s">
        <v>94</v>
      </c>
      <c r="K79" s="10">
        <v>15000000000</v>
      </c>
      <c r="M79" s="9" t="s">
        <v>39</v>
      </c>
      <c r="O79" s="9" t="s">
        <v>33</v>
      </c>
      <c r="P79" s="9" t="s">
        <v>34</v>
      </c>
      <c r="Q79" s="9" t="s">
        <v>108</v>
      </c>
      <c r="R79" s="9" t="s">
        <v>34</v>
      </c>
      <c r="S79" s="9" t="s">
        <v>34</v>
      </c>
      <c r="U79" s="9" t="s">
        <v>34</v>
      </c>
      <c r="X79" s="9" t="s">
        <v>34</v>
      </c>
      <c r="AB79" s="9" t="s">
        <v>33</v>
      </c>
      <c r="AD79" s="9" t="s">
        <v>34</v>
      </c>
      <c r="AH79" s="9" t="s">
        <v>34</v>
      </c>
      <c r="AK79" s="9" t="s">
        <v>34</v>
      </c>
      <c r="AL79" s="9" t="s">
        <v>34</v>
      </c>
      <c r="AM79" s="9" t="s">
        <v>96</v>
      </c>
      <c r="AN79" s="9" t="s">
        <v>97</v>
      </c>
      <c r="AO79" s="9">
        <v>75</v>
      </c>
      <c r="AP79" s="9" t="s">
        <v>109</v>
      </c>
      <c r="AQ79" s="9">
        <v>1</v>
      </c>
      <c r="AR79" s="9" t="s">
        <v>363</v>
      </c>
      <c r="AS79" s="9" t="s">
        <v>382</v>
      </c>
      <c r="AT79" s="9" t="s">
        <v>383</v>
      </c>
    </row>
    <row r="80" spans="1:46">
      <c r="A80" s="9" t="s">
        <v>384</v>
      </c>
      <c r="B80" s="8">
        <v>46115</v>
      </c>
      <c r="C80" s="9" t="s">
        <v>6</v>
      </c>
      <c r="D80" s="9" t="s">
        <v>103</v>
      </c>
      <c r="E80" s="9" t="s">
        <v>153</v>
      </c>
      <c r="F80" s="9" t="s">
        <v>305</v>
      </c>
      <c r="G80" s="9" t="s">
        <v>33</v>
      </c>
      <c r="H80" s="9" t="s">
        <v>33</v>
      </c>
      <c r="I80" s="9" t="s">
        <v>106</v>
      </c>
      <c r="J80" s="9" t="s">
        <v>34</v>
      </c>
      <c r="M80" s="9" t="s">
        <v>34</v>
      </c>
      <c r="O80" s="9" t="s">
        <v>33</v>
      </c>
      <c r="P80" s="9" t="s">
        <v>34</v>
      </c>
      <c r="Q80" s="9" t="s">
        <v>108</v>
      </c>
      <c r="R80" s="9" t="s">
        <v>34</v>
      </c>
      <c r="S80" s="9" t="s">
        <v>34</v>
      </c>
      <c r="U80" s="9" t="s">
        <v>34</v>
      </c>
      <c r="X80" s="9" t="s">
        <v>34</v>
      </c>
      <c r="AB80" s="9" t="s">
        <v>33</v>
      </c>
      <c r="AD80" s="9" t="s">
        <v>34</v>
      </c>
      <c r="AH80" s="9" t="s">
        <v>34</v>
      </c>
      <c r="AK80" s="9" t="s">
        <v>34</v>
      </c>
      <c r="AL80" s="9" t="s">
        <v>34</v>
      </c>
      <c r="AM80" s="9" t="s">
        <v>96</v>
      </c>
      <c r="AN80" s="9" t="s">
        <v>97</v>
      </c>
      <c r="AO80" s="9">
        <v>75</v>
      </c>
      <c r="AP80" s="9" t="s">
        <v>109</v>
      </c>
      <c r="AQ80" s="9">
        <v>1</v>
      </c>
      <c r="AR80" s="9" t="s">
        <v>224</v>
      </c>
      <c r="AS80" s="9" t="s">
        <v>385</v>
      </c>
      <c r="AT80" s="9" t="s">
        <v>386</v>
      </c>
    </row>
    <row r="81" spans="1:46">
      <c r="A81" s="9" t="s">
        <v>387</v>
      </c>
      <c r="B81" s="8">
        <v>46111</v>
      </c>
      <c r="C81" s="9" t="s">
        <v>6</v>
      </c>
      <c r="D81" s="9" t="s">
        <v>103</v>
      </c>
      <c r="E81" s="9" t="s">
        <v>104</v>
      </c>
      <c r="F81" s="9" t="s">
        <v>372</v>
      </c>
      <c r="G81" s="9" t="s">
        <v>33</v>
      </c>
      <c r="H81" s="9" t="s">
        <v>33</v>
      </c>
      <c r="I81" s="9" t="s">
        <v>106</v>
      </c>
      <c r="J81" s="9" t="s">
        <v>94</v>
      </c>
      <c r="K81" s="10">
        <v>10000000000</v>
      </c>
      <c r="M81" s="9" t="s">
        <v>39</v>
      </c>
      <c r="O81" s="9" t="s">
        <v>33</v>
      </c>
      <c r="P81" s="9" t="s">
        <v>34</v>
      </c>
      <c r="Q81" s="9" t="s">
        <v>108</v>
      </c>
      <c r="R81" s="9" t="s">
        <v>34</v>
      </c>
      <c r="S81" s="9" t="s">
        <v>34</v>
      </c>
      <c r="U81" s="9" t="s">
        <v>34</v>
      </c>
      <c r="X81" s="9" t="s">
        <v>34</v>
      </c>
      <c r="AB81" s="9" t="s">
        <v>33</v>
      </c>
      <c r="AD81" s="9" t="s">
        <v>34</v>
      </c>
      <c r="AH81" s="9" t="s">
        <v>34</v>
      </c>
      <c r="AK81" s="9" t="s">
        <v>34</v>
      </c>
      <c r="AL81" s="9" t="s">
        <v>34</v>
      </c>
      <c r="AM81" s="9" t="s">
        <v>96</v>
      </c>
      <c r="AN81" s="9" t="s">
        <v>97</v>
      </c>
      <c r="AO81" s="9">
        <v>75</v>
      </c>
      <c r="AP81" s="9" t="s">
        <v>109</v>
      </c>
      <c r="AQ81" s="9">
        <v>1</v>
      </c>
      <c r="AR81" s="9" t="s">
        <v>388</v>
      </c>
      <c r="AS81" s="9" t="s">
        <v>389</v>
      </c>
      <c r="AT81" s="9" t="s">
        <v>390</v>
      </c>
    </row>
    <row r="82" spans="1:46">
      <c r="A82" s="9" t="s">
        <v>391</v>
      </c>
      <c r="B82" s="8">
        <v>46111</v>
      </c>
      <c r="C82" s="9" t="s">
        <v>6</v>
      </c>
      <c r="D82" s="9" t="s">
        <v>103</v>
      </c>
      <c r="E82" s="9" t="s">
        <v>104</v>
      </c>
      <c r="F82" s="9" t="s">
        <v>372</v>
      </c>
      <c r="G82" s="9" t="s">
        <v>33</v>
      </c>
      <c r="H82" s="9" t="s">
        <v>33</v>
      </c>
      <c r="I82" s="9" t="s">
        <v>106</v>
      </c>
      <c r="J82" s="9" t="s">
        <v>34</v>
      </c>
      <c r="M82" s="9" t="s">
        <v>34</v>
      </c>
      <c r="O82" s="9" t="s">
        <v>33</v>
      </c>
      <c r="P82" s="9" t="s">
        <v>34</v>
      </c>
      <c r="Q82" s="9" t="s">
        <v>108</v>
      </c>
      <c r="R82" s="9" t="s">
        <v>34</v>
      </c>
      <c r="S82" s="9" t="s">
        <v>34</v>
      </c>
      <c r="U82" s="9" t="s">
        <v>34</v>
      </c>
      <c r="X82" s="9" t="s">
        <v>34</v>
      </c>
      <c r="AB82" s="9" t="s">
        <v>33</v>
      </c>
      <c r="AD82" s="9" t="s">
        <v>34</v>
      </c>
      <c r="AH82" s="9" t="s">
        <v>34</v>
      </c>
      <c r="AK82" s="9" t="s">
        <v>34</v>
      </c>
      <c r="AL82" s="9" t="s">
        <v>34</v>
      </c>
      <c r="AM82" s="9" t="s">
        <v>96</v>
      </c>
      <c r="AN82" s="9" t="s">
        <v>97</v>
      </c>
      <c r="AO82" s="9">
        <v>75</v>
      </c>
      <c r="AP82" s="9" t="s">
        <v>109</v>
      </c>
      <c r="AQ82" s="9">
        <v>1</v>
      </c>
      <c r="AR82" s="9" t="s">
        <v>199</v>
      </c>
      <c r="AS82" s="9" t="s">
        <v>392</v>
      </c>
      <c r="AT82" s="9" t="s">
        <v>393</v>
      </c>
    </row>
    <row r="83" spans="1:46">
      <c r="A83" s="9" t="s">
        <v>394</v>
      </c>
      <c r="B83" s="8">
        <v>46080</v>
      </c>
      <c r="C83" s="9" t="s">
        <v>6</v>
      </c>
      <c r="D83" s="9" t="s">
        <v>92</v>
      </c>
      <c r="E83" s="9" t="s">
        <v>41</v>
      </c>
      <c r="F83" s="9" t="s">
        <v>48</v>
      </c>
      <c r="G83" s="9" t="s">
        <v>33</v>
      </c>
      <c r="H83" s="9" t="s">
        <v>33</v>
      </c>
      <c r="I83" s="9" t="s">
        <v>106</v>
      </c>
      <c r="J83" s="9" t="s">
        <v>94</v>
      </c>
      <c r="K83" s="10">
        <v>7000000000</v>
      </c>
      <c r="M83" s="9" t="s">
        <v>39</v>
      </c>
      <c r="O83" s="9" t="s">
        <v>33</v>
      </c>
      <c r="P83" s="9" t="s">
        <v>34</v>
      </c>
      <c r="Q83" s="9" t="s">
        <v>108</v>
      </c>
      <c r="R83" s="9" t="s">
        <v>34</v>
      </c>
      <c r="S83" s="9" t="s">
        <v>34</v>
      </c>
      <c r="T83" s="11">
        <v>0.15</v>
      </c>
      <c r="U83" s="9" t="s">
        <v>34</v>
      </c>
      <c r="X83" s="9" t="s">
        <v>34</v>
      </c>
      <c r="AB83" s="9" t="s">
        <v>33</v>
      </c>
      <c r="AD83" s="9" t="s">
        <v>34</v>
      </c>
      <c r="AH83" s="9" t="s">
        <v>34</v>
      </c>
      <c r="AK83" s="9" t="s">
        <v>34</v>
      </c>
      <c r="AL83" s="9" t="s">
        <v>34</v>
      </c>
      <c r="AM83" s="9" t="s">
        <v>96</v>
      </c>
      <c r="AN83" s="9" t="s">
        <v>35</v>
      </c>
      <c r="AO83" s="9">
        <v>100</v>
      </c>
      <c r="AP83" s="9" t="s">
        <v>98</v>
      </c>
      <c r="AQ83" s="9">
        <v>1</v>
      </c>
      <c r="AR83" s="9" t="s">
        <v>395</v>
      </c>
      <c r="AS83" s="9" t="s">
        <v>396</v>
      </c>
      <c r="AT83" s="9" t="s">
        <v>49</v>
      </c>
    </row>
    <row r="84" spans="1:46">
      <c r="A84" s="9" t="s">
        <v>397</v>
      </c>
      <c r="B84" s="8">
        <v>45729</v>
      </c>
      <c r="C84" s="9" t="s">
        <v>6</v>
      </c>
      <c r="D84" s="9" t="s">
        <v>92</v>
      </c>
      <c r="E84" s="9" t="s">
        <v>153</v>
      </c>
      <c r="F84" s="9" t="s">
        <v>42</v>
      </c>
      <c r="G84" s="9" t="s">
        <v>33</v>
      </c>
      <c r="H84" s="9" t="s">
        <v>33</v>
      </c>
      <c r="I84" s="9" t="s">
        <v>93</v>
      </c>
      <c r="J84" s="9" t="s">
        <v>34</v>
      </c>
      <c r="M84" s="9" t="s">
        <v>34</v>
      </c>
      <c r="O84" s="9" t="s">
        <v>33</v>
      </c>
      <c r="P84" s="9" t="s">
        <v>34</v>
      </c>
      <c r="Q84" s="9" t="s">
        <v>108</v>
      </c>
      <c r="R84" s="9" t="s">
        <v>34</v>
      </c>
      <c r="S84" s="9" t="s">
        <v>34</v>
      </c>
      <c r="U84" s="9" t="s">
        <v>34</v>
      </c>
      <c r="X84" s="9" t="s">
        <v>34</v>
      </c>
      <c r="AB84" s="9" t="s">
        <v>33</v>
      </c>
      <c r="AD84" s="9" t="s">
        <v>34</v>
      </c>
      <c r="AH84" s="9" t="s">
        <v>34</v>
      </c>
      <c r="AK84" s="9" t="s">
        <v>34</v>
      </c>
      <c r="AL84" s="9" t="s">
        <v>34</v>
      </c>
      <c r="AM84" s="9" t="s">
        <v>96</v>
      </c>
      <c r="AN84" s="9" t="s">
        <v>35</v>
      </c>
      <c r="AO84" s="9">
        <v>100</v>
      </c>
      <c r="AP84" s="9" t="s">
        <v>98</v>
      </c>
      <c r="AQ84" s="9">
        <v>1</v>
      </c>
      <c r="AR84" s="9" t="s">
        <v>294</v>
      </c>
      <c r="AS84" s="9" t="s">
        <v>398</v>
      </c>
      <c r="AT84" s="9" t="s">
        <v>399</v>
      </c>
    </row>
    <row r="85" spans="1:46">
      <c r="A85" s="9" t="s">
        <v>400</v>
      </c>
      <c r="B85" s="8">
        <v>45642</v>
      </c>
      <c r="C85" s="9" t="s">
        <v>4</v>
      </c>
      <c r="D85" s="9" t="s">
        <v>92</v>
      </c>
      <c r="E85" s="9" t="s">
        <v>31</v>
      </c>
      <c r="F85" s="9" t="s">
        <v>34</v>
      </c>
      <c r="G85" s="9" t="s">
        <v>34</v>
      </c>
      <c r="H85" s="9" t="s">
        <v>34</v>
      </c>
      <c r="I85" s="9" t="s">
        <v>93</v>
      </c>
      <c r="J85" s="9" t="s">
        <v>34</v>
      </c>
      <c r="M85" s="9" t="s">
        <v>34</v>
      </c>
      <c r="O85" s="9" t="s">
        <v>34</v>
      </c>
      <c r="P85" s="9" t="s">
        <v>34</v>
      </c>
      <c r="Q85" s="9" t="s">
        <v>129</v>
      </c>
      <c r="R85" s="9" t="s">
        <v>33</v>
      </c>
      <c r="S85" s="9" t="s">
        <v>33</v>
      </c>
      <c r="U85" s="9" t="s">
        <v>33</v>
      </c>
      <c r="X85" s="9" t="s">
        <v>33</v>
      </c>
      <c r="AB85" s="9" t="s">
        <v>33</v>
      </c>
      <c r="AD85" s="9" t="s">
        <v>34</v>
      </c>
      <c r="AH85" s="9" t="s">
        <v>34</v>
      </c>
      <c r="AK85" s="9" t="s">
        <v>34</v>
      </c>
      <c r="AL85" s="9" t="s">
        <v>34</v>
      </c>
      <c r="AM85" s="9" t="s">
        <v>96</v>
      </c>
      <c r="AN85" s="9" t="s">
        <v>97</v>
      </c>
      <c r="AO85" s="9">
        <v>65</v>
      </c>
      <c r="AP85" s="9" t="s">
        <v>98</v>
      </c>
      <c r="AQ85" s="9">
        <v>1</v>
      </c>
      <c r="AR85" s="9" t="s">
        <v>395</v>
      </c>
      <c r="AS85" s="9" t="s">
        <v>401</v>
      </c>
      <c r="AT85" s="9" t="s">
        <v>402</v>
      </c>
    </row>
    <row r="86" spans="1:46">
      <c r="A86" s="9" t="s">
        <v>403</v>
      </c>
      <c r="B86" s="8">
        <v>45611</v>
      </c>
      <c r="C86" s="9" t="s">
        <v>6</v>
      </c>
      <c r="D86" s="9" t="s">
        <v>92</v>
      </c>
      <c r="E86" s="9" t="s">
        <v>153</v>
      </c>
      <c r="F86" s="9" t="s">
        <v>48</v>
      </c>
      <c r="G86" s="9" t="s">
        <v>33</v>
      </c>
      <c r="H86" s="9" t="s">
        <v>33</v>
      </c>
      <c r="I86" s="9" t="s">
        <v>9</v>
      </c>
      <c r="J86" s="9" t="s">
        <v>94</v>
      </c>
      <c r="K86" s="10">
        <v>3000000000</v>
      </c>
      <c r="M86" s="9" t="s">
        <v>39</v>
      </c>
      <c r="O86" s="9" t="s">
        <v>33</v>
      </c>
      <c r="P86" s="9" t="s">
        <v>34</v>
      </c>
      <c r="Q86" s="9" t="s">
        <v>108</v>
      </c>
      <c r="R86" s="9" t="s">
        <v>34</v>
      </c>
      <c r="S86" s="9" t="s">
        <v>34</v>
      </c>
      <c r="U86" s="9" t="s">
        <v>404</v>
      </c>
      <c r="X86" s="9" t="s">
        <v>405</v>
      </c>
      <c r="AB86" s="9" t="s">
        <v>33</v>
      </c>
      <c r="AD86" s="9" t="s">
        <v>406</v>
      </c>
      <c r="AH86" s="9" t="s">
        <v>34</v>
      </c>
      <c r="AK86" s="9" t="s">
        <v>34</v>
      </c>
      <c r="AL86" s="9" t="s">
        <v>34</v>
      </c>
      <c r="AM86" s="9" t="s">
        <v>96</v>
      </c>
      <c r="AN86" s="9" t="s">
        <v>35</v>
      </c>
      <c r="AO86" s="9">
        <v>100</v>
      </c>
      <c r="AP86" s="9" t="s">
        <v>98</v>
      </c>
      <c r="AQ86" s="9">
        <v>1</v>
      </c>
      <c r="AR86" s="9" t="s">
        <v>395</v>
      </c>
      <c r="AS86" s="9" t="s">
        <v>407</v>
      </c>
      <c r="AT86" s="9" t="s">
        <v>408</v>
      </c>
    </row>
    <row r="87" spans="1:46">
      <c r="A87" s="9" t="s">
        <v>409</v>
      </c>
      <c r="B87" s="8">
        <v>45391</v>
      </c>
      <c r="C87" s="9" t="s">
        <v>6</v>
      </c>
      <c r="D87" s="9" t="s">
        <v>92</v>
      </c>
      <c r="E87" s="9" t="s">
        <v>31</v>
      </c>
      <c r="F87" s="9" t="s">
        <v>48</v>
      </c>
      <c r="G87" s="9" t="s">
        <v>33</v>
      </c>
      <c r="H87" s="9" t="s">
        <v>33</v>
      </c>
      <c r="I87" s="9" t="s">
        <v>106</v>
      </c>
      <c r="J87" s="9" t="s">
        <v>94</v>
      </c>
      <c r="K87" s="10">
        <v>4000000000</v>
      </c>
      <c r="M87" s="9" t="s">
        <v>39</v>
      </c>
      <c r="O87" s="9" t="s">
        <v>33</v>
      </c>
      <c r="P87" s="9" t="s">
        <v>34</v>
      </c>
      <c r="Q87" s="9" t="s">
        <v>108</v>
      </c>
      <c r="R87" s="9" t="s">
        <v>34</v>
      </c>
      <c r="S87" s="9" t="s">
        <v>34</v>
      </c>
      <c r="T87" s="11">
        <v>0.15</v>
      </c>
      <c r="U87" s="9" t="s">
        <v>34</v>
      </c>
      <c r="X87" s="9" t="s">
        <v>410</v>
      </c>
      <c r="AB87" s="9" t="s">
        <v>33</v>
      </c>
      <c r="AD87" s="9" t="s">
        <v>34</v>
      </c>
      <c r="AH87" s="9" t="s">
        <v>34</v>
      </c>
      <c r="AK87" s="9" t="s">
        <v>34</v>
      </c>
      <c r="AL87" s="9" t="s">
        <v>34</v>
      </c>
      <c r="AM87" s="9" t="s">
        <v>96</v>
      </c>
      <c r="AN87" s="9" t="s">
        <v>35</v>
      </c>
      <c r="AO87" s="9">
        <v>100</v>
      </c>
      <c r="AP87" s="9" t="s">
        <v>98</v>
      </c>
      <c r="AQ87" s="9">
        <v>1</v>
      </c>
      <c r="AR87" s="9" t="s">
        <v>395</v>
      </c>
      <c r="AS87" s="9" t="s">
        <v>411</v>
      </c>
      <c r="AT87" s="9" t="s">
        <v>412</v>
      </c>
    </row>
    <row r="88" spans="1:46">
      <c r="A88" s="9" t="s">
        <v>413</v>
      </c>
      <c r="B88" s="8">
        <v>45357</v>
      </c>
      <c r="C88" s="9" t="s">
        <v>6</v>
      </c>
      <c r="D88" s="9" t="s">
        <v>92</v>
      </c>
      <c r="E88" s="9" t="s">
        <v>153</v>
      </c>
      <c r="F88" s="9" t="s">
        <v>48</v>
      </c>
      <c r="G88" s="9" t="s">
        <v>33</v>
      </c>
      <c r="H88" s="9" t="s">
        <v>33</v>
      </c>
      <c r="I88" s="9" t="s">
        <v>106</v>
      </c>
      <c r="J88" s="9" t="s">
        <v>94</v>
      </c>
      <c r="K88" s="10">
        <v>3000000000</v>
      </c>
      <c r="M88" s="9" t="s">
        <v>39</v>
      </c>
      <c r="O88" s="9" t="s">
        <v>33</v>
      </c>
      <c r="P88" s="9" t="s">
        <v>34</v>
      </c>
      <c r="Q88" s="9" t="s">
        <v>108</v>
      </c>
      <c r="R88" s="9" t="s">
        <v>34</v>
      </c>
      <c r="S88" s="9" t="s">
        <v>34</v>
      </c>
      <c r="U88" s="9" t="s">
        <v>34</v>
      </c>
      <c r="X88" s="9" t="s">
        <v>34</v>
      </c>
      <c r="AB88" s="9" t="s">
        <v>33</v>
      </c>
      <c r="AD88" s="9" t="s">
        <v>34</v>
      </c>
      <c r="AH88" s="9" t="s">
        <v>34</v>
      </c>
      <c r="AK88" s="9" t="s">
        <v>34</v>
      </c>
      <c r="AL88" s="9" t="s">
        <v>34</v>
      </c>
      <c r="AM88" s="9" t="s">
        <v>96</v>
      </c>
      <c r="AN88" s="9" t="s">
        <v>35</v>
      </c>
      <c r="AO88" s="9">
        <v>100</v>
      </c>
      <c r="AP88" s="9" t="s">
        <v>98</v>
      </c>
      <c r="AQ88" s="9">
        <v>1</v>
      </c>
      <c r="AR88" s="9" t="s">
        <v>395</v>
      </c>
      <c r="AS88" s="9" t="s">
        <v>414</v>
      </c>
      <c r="AT88" s="9" t="s">
        <v>408</v>
      </c>
    </row>
    <row r="89" spans="1:46">
      <c r="A89" s="9" t="s">
        <v>415</v>
      </c>
      <c r="B89" s="8">
        <v>45288</v>
      </c>
      <c r="C89" s="9" t="s">
        <v>4</v>
      </c>
      <c r="D89" s="9" t="s">
        <v>92</v>
      </c>
      <c r="E89" s="9" t="s">
        <v>31</v>
      </c>
      <c r="F89" s="9" t="s">
        <v>416</v>
      </c>
      <c r="G89" s="9" t="s">
        <v>417</v>
      </c>
      <c r="H89" s="9" t="s">
        <v>34</v>
      </c>
      <c r="I89" s="9" t="s">
        <v>106</v>
      </c>
      <c r="J89" s="9" t="s">
        <v>94</v>
      </c>
      <c r="M89" s="9" t="s">
        <v>34</v>
      </c>
      <c r="O89" s="9" t="s">
        <v>34</v>
      </c>
      <c r="P89" s="9" t="s">
        <v>34</v>
      </c>
      <c r="Q89" s="9" t="s">
        <v>129</v>
      </c>
      <c r="R89" s="9" t="s">
        <v>33</v>
      </c>
      <c r="S89" s="9" t="s">
        <v>33</v>
      </c>
      <c r="U89" s="9" t="s">
        <v>33</v>
      </c>
      <c r="X89" s="9" t="s">
        <v>33</v>
      </c>
      <c r="AB89" s="9" t="s">
        <v>33</v>
      </c>
      <c r="AD89" s="9" t="s">
        <v>34</v>
      </c>
      <c r="AH89" s="9" t="s">
        <v>34</v>
      </c>
      <c r="AK89" s="9" t="s">
        <v>34</v>
      </c>
      <c r="AL89" s="9" t="s">
        <v>34</v>
      </c>
      <c r="AM89" s="9" t="s">
        <v>96</v>
      </c>
      <c r="AN89" s="9" t="s">
        <v>97</v>
      </c>
      <c r="AO89" s="9">
        <v>40</v>
      </c>
      <c r="AP89" s="9" t="s">
        <v>98</v>
      </c>
      <c r="AQ89" s="9">
        <v>1</v>
      </c>
      <c r="AR89" s="9" t="s">
        <v>395</v>
      </c>
      <c r="AS89" s="9" t="s">
        <v>418</v>
      </c>
      <c r="AT89" s="9" t="s">
        <v>419</v>
      </c>
    </row>
    <row r="90" spans="1:46">
      <c r="A90" s="9" t="s">
        <v>420</v>
      </c>
      <c r="B90" s="8">
        <v>45190</v>
      </c>
      <c r="C90" s="9" t="s">
        <v>4</v>
      </c>
      <c r="D90" s="9" t="s">
        <v>92</v>
      </c>
      <c r="E90" s="9" t="s">
        <v>44</v>
      </c>
      <c r="F90" s="9" t="s">
        <v>421</v>
      </c>
      <c r="G90" s="9" t="s">
        <v>422</v>
      </c>
      <c r="H90" s="9" t="s">
        <v>423</v>
      </c>
      <c r="I90" s="9" t="s">
        <v>93</v>
      </c>
      <c r="J90" s="9" t="s">
        <v>424</v>
      </c>
      <c r="K90" s="10">
        <v>28000000000</v>
      </c>
      <c r="M90" s="9" t="s">
        <v>107</v>
      </c>
      <c r="N90" s="11">
        <v>1</v>
      </c>
      <c r="O90" s="9" t="s">
        <v>425</v>
      </c>
      <c r="P90" s="9" t="s">
        <v>34</v>
      </c>
      <c r="R90" s="9" t="s">
        <v>33</v>
      </c>
      <c r="S90" s="9" t="s">
        <v>33</v>
      </c>
      <c r="U90" s="9" t="s">
        <v>33</v>
      </c>
      <c r="X90" s="9" t="s">
        <v>33</v>
      </c>
      <c r="AB90" s="9" t="s">
        <v>33</v>
      </c>
      <c r="AD90" s="9" t="s">
        <v>426</v>
      </c>
      <c r="AE90" s="10">
        <v>3653708000</v>
      </c>
      <c r="AG90" s="8">
        <v>44957</v>
      </c>
      <c r="AH90" s="9" t="s">
        <v>107</v>
      </c>
      <c r="AK90" s="9" t="s">
        <v>427</v>
      </c>
      <c r="AL90" s="9" t="s">
        <v>428</v>
      </c>
      <c r="AM90" s="9" t="s">
        <v>429</v>
      </c>
      <c r="AN90" s="9" t="s">
        <v>35</v>
      </c>
      <c r="AO90" s="9">
        <v>100</v>
      </c>
      <c r="AP90" s="9" t="s">
        <v>98</v>
      </c>
      <c r="AQ90" s="9">
        <v>2</v>
      </c>
      <c r="AR90" s="9" t="s">
        <v>430</v>
      </c>
      <c r="AS90" s="9" t="s">
        <v>431</v>
      </c>
      <c r="AT90" s="9" t="s">
        <v>432</v>
      </c>
    </row>
    <row r="91" spans="1:46">
      <c r="A91" s="9" t="s">
        <v>433</v>
      </c>
      <c r="B91" s="8">
        <v>44707</v>
      </c>
      <c r="C91" s="9" t="s">
        <v>4</v>
      </c>
      <c r="D91" s="9" t="s">
        <v>92</v>
      </c>
      <c r="E91" s="9" t="s">
        <v>44</v>
      </c>
      <c r="F91" s="9" t="s">
        <v>434</v>
      </c>
      <c r="G91" s="9" t="s">
        <v>435</v>
      </c>
      <c r="H91" s="9" t="s">
        <v>423</v>
      </c>
      <c r="I91" s="9" t="s">
        <v>93</v>
      </c>
      <c r="J91" s="9" t="s">
        <v>424</v>
      </c>
      <c r="K91" s="10">
        <v>61000000000</v>
      </c>
      <c r="L91" s="10">
        <v>69000000000</v>
      </c>
      <c r="M91" s="9" t="s">
        <v>107</v>
      </c>
      <c r="N91" s="11">
        <v>1</v>
      </c>
      <c r="O91" s="9" t="s">
        <v>436</v>
      </c>
      <c r="P91" s="9" t="s">
        <v>437</v>
      </c>
      <c r="Q91" s="9" t="s">
        <v>129</v>
      </c>
      <c r="R91" s="9" t="s">
        <v>33</v>
      </c>
      <c r="S91" s="9" t="s">
        <v>33</v>
      </c>
      <c r="U91" s="9" t="s">
        <v>33</v>
      </c>
      <c r="X91" s="9" t="s">
        <v>33</v>
      </c>
      <c r="AB91" s="9" t="s">
        <v>33</v>
      </c>
      <c r="AD91" s="9" t="s">
        <v>438</v>
      </c>
      <c r="AE91" s="10">
        <v>12851000000</v>
      </c>
      <c r="AF91" s="10">
        <v>2966000000</v>
      </c>
      <c r="AG91" s="8">
        <v>44589</v>
      </c>
      <c r="AH91" s="9" t="s">
        <v>107</v>
      </c>
      <c r="AI91" s="12">
        <v>5.369231966383939</v>
      </c>
      <c r="AJ91" s="12">
        <v>23.26365475387728</v>
      </c>
      <c r="AK91" s="9" t="s">
        <v>439</v>
      </c>
      <c r="AL91" s="9" t="s">
        <v>440</v>
      </c>
      <c r="AM91" s="9" t="s">
        <v>429</v>
      </c>
      <c r="AN91" s="9" t="s">
        <v>35</v>
      </c>
      <c r="AO91" s="9">
        <v>100</v>
      </c>
      <c r="AP91" s="9" t="s">
        <v>98</v>
      </c>
      <c r="AQ91" s="9">
        <v>2</v>
      </c>
      <c r="AR91" s="9" t="s">
        <v>441</v>
      </c>
      <c r="AS91" s="9" t="s">
        <v>442</v>
      </c>
      <c r="AT91" s="9" t="s">
        <v>443</v>
      </c>
    </row>
    <row r="92" spans="1:46">
      <c r="A92" s="9" t="s">
        <v>444</v>
      </c>
      <c r="B92" s="8">
        <v>44640</v>
      </c>
      <c r="C92" s="9" t="s">
        <v>4</v>
      </c>
      <c r="D92" s="9" t="s">
        <v>92</v>
      </c>
      <c r="E92" s="9" t="s">
        <v>44</v>
      </c>
      <c r="F92" s="9" t="s">
        <v>445</v>
      </c>
      <c r="G92" s="9" t="s">
        <v>446</v>
      </c>
      <c r="H92" s="9" t="s">
        <v>423</v>
      </c>
      <c r="I92" s="9" t="s">
        <v>93</v>
      </c>
      <c r="J92" s="9" t="s">
        <v>424</v>
      </c>
      <c r="K92" s="10">
        <v>10400000000</v>
      </c>
      <c r="M92" s="9" t="s">
        <v>107</v>
      </c>
      <c r="N92" s="11">
        <v>1</v>
      </c>
      <c r="O92" s="9" t="s">
        <v>425</v>
      </c>
      <c r="P92" s="9" t="s">
        <v>34</v>
      </c>
      <c r="R92" s="9" t="s">
        <v>33</v>
      </c>
      <c r="S92" s="9" t="s">
        <v>33</v>
      </c>
      <c r="U92" s="9" t="s">
        <v>33</v>
      </c>
      <c r="X92" s="9" t="s">
        <v>33</v>
      </c>
      <c r="AB92" s="9" t="s">
        <v>33</v>
      </c>
      <c r="AD92" s="9" t="s">
        <v>447</v>
      </c>
      <c r="AE92" s="10">
        <v>592200000</v>
      </c>
      <c r="AG92" s="8">
        <v>44592</v>
      </c>
      <c r="AH92" s="9" t="s">
        <v>107</v>
      </c>
      <c r="AK92" s="9" t="s">
        <v>448</v>
      </c>
      <c r="AL92" s="9" t="s">
        <v>449</v>
      </c>
      <c r="AM92" s="9" t="s">
        <v>450</v>
      </c>
      <c r="AN92" s="9" t="s">
        <v>35</v>
      </c>
      <c r="AO92" s="9">
        <v>100</v>
      </c>
      <c r="AP92" s="9" t="s">
        <v>98</v>
      </c>
      <c r="AQ92" s="9">
        <v>2</v>
      </c>
      <c r="AR92" s="9" t="s">
        <v>451</v>
      </c>
      <c r="AS92" s="9" t="s">
        <v>452</v>
      </c>
      <c r="AT92" s="9" t="s">
        <v>453</v>
      </c>
    </row>
    <row r="93" spans="1:46">
      <c r="A93" s="9" t="s">
        <v>454</v>
      </c>
      <c r="B93" s="8">
        <v>44592</v>
      </c>
      <c r="C93" s="9" t="s">
        <v>4</v>
      </c>
      <c r="D93" s="9" t="s">
        <v>92</v>
      </c>
      <c r="E93" s="9" t="s">
        <v>44</v>
      </c>
      <c r="F93" s="9" t="s">
        <v>455</v>
      </c>
      <c r="G93" s="9" t="s">
        <v>456</v>
      </c>
      <c r="H93" s="9" t="s">
        <v>423</v>
      </c>
      <c r="I93" s="9" t="s">
        <v>93</v>
      </c>
      <c r="J93" s="9" t="s">
        <v>424</v>
      </c>
      <c r="K93" s="10">
        <v>16500000000</v>
      </c>
      <c r="L93" s="10">
        <v>16500000000</v>
      </c>
      <c r="M93" s="9" t="s">
        <v>107</v>
      </c>
      <c r="N93" s="11">
        <v>1</v>
      </c>
      <c r="O93" s="9" t="s">
        <v>425</v>
      </c>
      <c r="P93" s="9" t="s">
        <v>34</v>
      </c>
      <c r="R93" s="9" t="s">
        <v>33</v>
      </c>
      <c r="S93" s="9" t="s">
        <v>33</v>
      </c>
      <c r="U93" s="9" t="s">
        <v>33</v>
      </c>
      <c r="X93" s="9" t="s">
        <v>33</v>
      </c>
      <c r="AB93" s="9" t="s">
        <v>33</v>
      </c>
      <c r="AD93" s="9" t="s">
        <v>457</v>
      </c>
      <c r="AE93" s="10">
        <v>3217170000</v>
      </c>
      <c r="AG93" s="8">
        <v>44561</v>
      </c>
      <c r="AH93" s="9" t="s">
        <v>107</v>
      </c>
      <c r="AI93" s="12">
        <v>5.128731151913017</v>
      </c>
      <c r="AK93" s="9" t="s">
        <v>458</v>
      </c>
      <c r="AL93" s="9" t="s">
        <v>459</v>
      </c>
      <c r="AM93" s="9" t="s">
        <v>450</v>
      </c>
      <c r="AN93" s="9" t="s">
        <v>35</v>
      </c>
      <c r="AO93" s="9">
        <v>100</v>
      </c>
      <c r="AP93" s="9" t="s">
        <v>98</v>
      </c>
      <c r="AQ93" s="9">
        <v>1</v>
      </c>
      <c r="AR93" s="9" t="s">
        <v>460</v>
      </c>
      <c r="AS93" s="9" t="s">
        <v>461</v>
      </c>
      <c r="AT93" s="9" t="s">
        <v>462</v>
      </c>
    </row>
    <row r="94" spans="1:46">
      <c r="A94" s="9" t="s">
        <v>463</v>
      </c>
      <c r="B94" s="8">
        <v>44579</v>
      </c>
      <c r="C94" s="9" t="s">
        <v>4</v>
      </c>
      <c r="D94" s="9" t="s">
        <v>92</v>
      </c>
      <c r="E94" s="9" t="s">
        <v>44</v>
      </c>
      <c r="F94" s="9" t="s">
        <v>464</v>
      </c>
      <c r="G94" s="9" t="s">
        <v>465</v>
      </c>
      <c r="H94" s="9" t="s">
        <v>423</v>
      </c>
      <c r="I94" s="9" t="s">
        <v>93</v>
      </c>
      <c r="J94" s="9" t="s">
        <v>424</v>
      </c>
      <c r="K94" s="10">
        <v>68700000000</v>
      </c>
      <c r="L94" s="10">
        <v>68700000000</v>
      </c>
      <c r="M94" s="9" t="s">
        <v>107</v>
      </c>
      <c r="N94" s="11">
        <v>1</v>
      </c>
      <c r="O94" s="9" t="s">
        <v>425</v>
      </c>
      <c r="P94" s="9" t="s">
        <v>466</v>
      </c>
      <c r="Q94" s="9" t="s">
        <v>129</v>
      </c>
      <c r="R94" s="9" t="s">
        <v>33</v>
      </c>
      <c r="S94" s="9" t="s">
        <v>33</v>
      </c>
      <c r="U94" s="9" t="s">
        <v>33</v>
      </c>
      <c r="X94" s="9" t="s">
        <v>33</v>
      </c>
      <c r="AB94" s="9" t="s">
        <v>33</v>
      </c>
      <c r="AD94" s="9" t="s">
        <v>467</v>
      </c>
      <c r="AE94" s="10">
        <v>8086000000</v>
      </c>
      <c r="AG94" s="8">
        <v>44196</v>
      </c>
      <c r="AH94" s="9" t="s">
        <v>107</v>
      </c>
      <c r="AI94" s="12">
        <v>8.496166213208014</v>
      </c>
      <c r="AK94" s="9" t="s">
        <v>468</v>
      </c>
      <c r="AL94" s="9" t="s">
        <v>469</v>
      </c>
      <c r="AM94" s="9" t="s">
        <v>429</v>
      </c>
      <c r="AN94" s="9" t="s">
        <v>35</v>
      </c>
      <c r="AO94" s="9">
        <v>100</v>
      </c>
      <c r="AP94" s="9" t="s">
        <v>98</v>
      </c>
      <c r="AQ94" s="9">
        <v>2</v>
      </c>
      <c r="AR94" s="9" t="s">
        <v>470</v>
      </c>
      <c r="AS94" s="9" t="s">
        <v>471</v>
      </c>
      <c r="AT94" s="9" t="s">
        <v>472</v>
      </c>
    </row>
    <row r="95" spans="1:46">
      <c r="A95" s="9" t="s">
        <v>473</v>
      </c>
      <c r="B95" s="8">
        <v>44166</v>
      </c>
      <c r="C95" s="9" t="s">
        <v>4</v>
      </c>
      <c r="D95" s="9" t="s">
        <v>92</v>
      </c>
      <c r="E95" s="9" t="s">
        <v>44</v>
      </c>
      <c r="F95" s="9" t="s">
        <v>474</v>
      </c>
      <c r="G95" s="9" t="s">
        <v>475</v>
      </c>
      <c r="H95" s="9" t="s">
        <v>423</v>
      </c>
      <c r="I95" s="9" t="s">
        <v>93</v>
      </c>
      <c r="J95" s="9" t="s">
        <v>424</v>
      </c>
      <c r="K95" s="10">
        <v>27700000000</v>
      </c>
      <c r="L95" s="10">
        <v>27700000000</v>
      </c>
      <c r="M95" s="9" t="s">
        <v>107</v>
      </c>
      <c r="N95" s="11">
        <v>1</v>
      </c>
      <c r="O95" s="9" t="s">
        <v>436</v>
      </c>
      <c r="P95" s="9" t="s">
        <v>34</v>
      </c>
      <c r="R95" s="9" t="s">
        <v>33</v>
      </c>
      <c r="S95" s="9" t="s">
        <v>33</v>
      </c>
      <c r="U95" s="9" t="s">
        <v>33</v>
      </c>
      <c r="X95" s="9" t="s">
        <v>33</v>
      </c>
      <c r="AB95" s="9" t="s">
        <v>33</v>
      </c>
      <c r="AD95" s="9" t="s">
        <v>476</v>
      </c>
      <c r="AE95" s="10">
        <v>630422000</v>
      </c>
      <c r="AG95" s="8">
        <v>43861</v>
      </c>
      <c r="AH95" s="9" t="s">
        <v>107</v>
      </c>
      <c r="AI95" s="12">
        <v>43.93882193197572</v>
      </c>
      <c r="AK95" s="9" t="s">
        <v>477</v>
      </c>
      <c r="AL95" s="9" t="s">
        <v>478</v>
      </c>
      <c r="AM95" s="9" t="s">
        <v>429</v>
      </c>
      <c r="AN95" s="9" t="s">
        <v>35</v>
      </c>
      <c r="AO95" s="9">
        <v>100</v>
      </c>
      <c r="AP95" s="9" t="s">
        <v>98</v>
      </c>
      <c r="AQ95" s="9">
        <v>2</v>
      </c>
      <c r="AR95" s="9" t="s">
        <v>479</v>
      </c>
      <c r="AS95" s="9" t="s">
        <v>480</v>
      </c>
      <c r="AT95" s="9" t="s">
        <v>481</v>
      </c>
    </row>
    <row r="96" spans="1:46">
      <c r="A96" s="9" t="s">
        <v>482</v>
      </c>
      <c r="B96" s="8">
        <v>44131</v>
      </c>
      <c r="C96" s="9" t="s">
        <v>4</v>
      </c>
      <c r="D96" s="9" t="s">
        <v>92</v>
      </c>
      <c r="E96" s="9" t="s">
        <v>44</v>
      </c>
      <c r="F96" s="9" t="s">
        <v>483</v>
      </c>
      <c r="G96" s="9" t="s">
        <v>484</v>
      </c>
      <c r="H96" s="9" t="s">
        <v>423</v>
      </c>
      <c r="I96" s="9" t="s">
        <v>93</v>
      </c>
      <c r="J96" s="9" t="s">
        <v>424</v>
      </c>
      <c r="K96" s="10">
        <v>35000000000</v>
      </c>
      <c r="M96" s="9" t="s">
        <v>107</v>
      </c>
      <c r="N96" s="11">
        <v>1</v>
      </c>
      <c r="O96" s="9" t="s">
        <v>263</v>
      </c>
      <c r="P96" s="9" t="s">
        <v>34</v>
      </c>
      <c r="R96" s="9" t="s">
        <v>33</v>
      </c>
      <c r="S96" s="9" t="s">
        <v>33</v>
      </c>
      <c r="U96" s="9" t="s">
        <v>33</v>
      </c>
      <c r="X96" s="9" t="s">
        <v>33</v>
      </c>
      <c r="AB96" s="9" t="s">
        <v>33</v>
      </c>
      <c r="AD96" s="9" t="s">
        <v>485</v>
      </c>
      <c r="AE96" s="10">
        <v>3162666000</v>
      </c>
      <c r="AG96" s="8">
        <v>43918</v>
      </c>
      <c r="AH96" s="9" t="s">
        <v>107</v>
      </c>
      <c r="AK96" s="9" t="s">
        <v>486</v>
      </c>
      <c r="AL96" s="9" t="s">
        <v>487</v>
      </c>
      <c r="AM96" s="9" t="s">
        <v>429</v>
      </c>
      <c r="AN96" s="9" t="s">
        <v>35</v>
      </c>
      <c r="AO96" s="9">
        <v>100</v>
      </c>
      <c r="AP96" s="9" t="s">
        <v>98</v>
      </c>
      <c r="AQ96" s="9">
        <v>2</v>
      </c>
      <c r="AR96" s="9" t="s">
        <v>488</v>
      </c>
      <c r="AS96" s="9" t="s">
        <v>489</v>
      </c>
      <c r="AT96" s="9" t="s">
        <v>490</v>
      </c>
    </row>
    <row r="97" spans="1:46">
      <c r="A97" s="9" t="s">
        <v>491</v>
      </c>
      <c r="B97" s="8">
        <v>43626</v>
      </c>
      <c r="C97" s="9" t="s">
        <v>4</v>
      </c>
      <c r="D97" s="9" t="s">
        <v>92</v>
      </c>
      <c r="E97" s="9" t="s">
        <v>44</v>
      </c>
      <c r="F97" s="9" t="s">
        <v>492</v>
      </c>
      <c r="G97" s="9" t="s">
        <v>475</v>
      </c>
      <c r="H97" s="9" t="s">
        <v>423</v>
      </c>
      <c r="I97" s="9" t="s">
        <v>93</v>
      </c>
      <c r="J97" s="9" t="s">
        <v>424</v>
      </c>
      <c r="K97" s="10">
        <v>15700000000</v>
      </c>
      <c r="L97" s="10">
        <v>15700000000</v>
      </c>
      <c r="M97" s="9" t="s">
        <v>107</v>
      </c>
      <c r="N97" s="11">
        <v>1</v>
      </c>
      <c r="O97" s="9" t="s">
        <v>263</v>
      </c>
      <c r="P97" s="9" t="s">
        <v>34</v>
      </c>
      <c r="R97" s="9" t="s">
        <v>33</v>
      </c>
      <c r="S97" s="9" t="s">
        <v>33</v>
      </c>
      <c r="U97" s="9" t="s">
        <v>33</v>
      </c>
      <c r="X97" s="9" t="s">
        <v>33</v>
      </c>
      <c r="AB97" s="9" t="s">
        <v>33</v>
      </c>
      <c r="AD97" s="9" t="s">
        <v>493</v>
      </c>
      <c r="AE97" s="10">
        <v>1159000000</v>
      </c>
      <c r="AG97" s="8">
        <v>43465</v>
      </c>
      <c r="AH97" s="9" t="s">
        <v>107</v>
      </c>
      <c r="AI97" s="12">
        <v>13.54616048317515</v>
      </c>
      <c r="AK97" s="9" t="s">
        <v>494</v>
      </c>
      <c r="AL97" s="9" t="s">
        <v>495</v>
      </c>
      <c r="AM97" s="9" t="s">
        <v>429</v>
      </c>
      <c r="AN97" s="9" t="s">
        <v>35</v>
      </c>
      <c r="AO97" s="9">
        <v>100</v>
      </c>
      <c r="AP97" s="9" t="s">
        <v>98</v>
      </c>
      <c r="AQ97" s="9">
        <v>2</v>
      </c>
      <c r="AR97" s="9" t="s">
        <v>479</v>
      </c>
      <c r="AS97" s="9" t="s">
        <v>496</v>
      </c>
      <c r="AT97" s="9" t="s">
        <v>497</v>
      </c>
    </row>
    <row r="98" spans="1:46">
      <c r="A98" s="9" t="s">
        <v>498</v>
      </c>
      <c r="B98" s="8">
        <v>43401</v>
      </c>
      <c r="C98" s="9" t="s">
        <v>4</v>
      </c>
      <c r="D98" s="9" t="s">
        <v>92</v>
      </c>
      <c r="E98" s="9" t="s">
        <v>44</v>
      </c>
      <c r="F98" s="9" t="s">
        <v>499</v>
      </c>
      <c r="G98" s="9" t="s">
        <v>500</v>
      </c>
      <c r="H98" s="9" t="s">
        <v>423</v>
      </c>
      <c r="I98" s="9" t="s">
        <v>93</v>
      </c>
      <c r="J98" s="9" t="s">
        <v>424</v>
      </c>
      <c r="K98" s="10">
        <v>34000000000</v>
      </c>
      <c r="L98" s="10">
        <v>34000000000</v>
      </c>
      <c r="M98" s="9" t="s">
        <v>107</v>
      </c>
      <c r="N98" s="11">
        <v>1</v>
      </c>
      <c r="O98" s="9" t="s">
        <v>425</v>
      </c>
      <c r="P98" s="9" t="s">
        <v>34</v>
      </c>
      <c r="R98" s="9" t="s">
        <v>33</v>
      </c>
      <c r="S98" s="9" t="s">
        <v>33</v>
      </c>
      <c r="U98" s="9" t="s">
        <v>33</v>
      </c>
      <c r="X98" s="9" t="s">
        <v>33</v>
      </c>
      <c r="AB98" s="9" t="s">
        <v>33</v>
      </c>
      <c r="AD98" s="9" t="s">
        <v>501</v>
      </c>
      <c r="AE98" s="10">
        <v>2920461000</v>
      </c>
      <c r="AG98" s="8">
        <v>43159</v>
      </c>
      <c r="AH98" s="9" t="s">
        <v>107</v>
      </c>
      <c r="AI98" s="12">
        <v>11.64199761612978</v>
      </c>
      <c r="AK98" s="9" t="s">
        <v>502</v>
      </c>
      <c r="AL98" s="9" t="s">
        <v>503</v>
      </c>
      <c r="AM98" s="9" t="s">
        <v>429</v>
      </c>
      <c r="AN98" s="9" t="s">
        <v>35</v>
      </c>
      <c r="AO98" s="9">
        <v>100</v>
      </c>
      <c r="AP98" s="9" t="s">
        <v>98</v>
      </c>
      <c r="AQ98" s="9">
        <v>2</v>
      </c>
      <c r="AR98" s="9" t="s">
        <v>504</v>
      </c>
      <c r="AS98" s="9" t="s">
        <v>505</v>
      </c>
      <c r="AT98" s="9" t="s">
        <v>506</v>
      </c>
    </row>
    <row r="99" spans="1:46">
      <c r="A99" s="9" t="s">
        <v>507</v>
      </c>
      <c r="B99" s="8">
        <v>42534</v>
      </c>
      <c r="C99" s="9" t="s">
        <v>4</v>
      </c>
      <c r="D99" s="9" t="s">
        <v>92</v>
      </c>
      <c r="E99" s="9" t="s">
        <v>44</v>
      </c>
      <c r="F99" s="9" t="s">
        <v>508</v>
      </c>
      <c r="G99" s="9" t="s">
        <v>465</v>
      </c>
      <c r="H99" s="9" t="s">
        <v>423</v>
      </c>
      <c r="I99" s="9" t="s">
        <v>93</v>
      </c>
      <c r="J99" s="9" t="s">
        <v>424</v>
      </c>
      <c r="K99" s="10">
        <v>26200000000</v>
      </c>
      <c r="L99" s="10">
        <v>26200000000</v>
      </c>
      <c r="M99" s="9" t="s">
        <v>107</v>
      </c>
      <c r="N99" s="11">
        <v>1</v>
      </c>
      <c r="O99" s="9" t="s">
        <v>425</v>
      </c>
      <c r="P99" s="9" t="s">
        <v>34</v>
      </c>
      <c r="R99" s="9" t="s">
        <v>33</v>
      </c>
      <c r="S99" s="9" t="s">
        <v>33</v>
      </c>
      <c r="U99" s="9" t="s">
        <v>33</v>
      </c>
      <c r="X99" s="9" t="s">
        <v>33</v>
      </c>
      <c r="AB99" s="9" t="s">
        <v>33</v>
      </c>
      <c r="AD99" s="9" t="s">
        <v>509</v>
      </c>
      <c r="AE99" s="10">
        <v>2990911000</v>
      </c>
      <c r="AF99" s="10">
        <v>254472000</v>
      </c>
      <c r="AG99" s="8">
        <v>42369</v>
      </c>
      <c r="AH99" s="9" t="s">
        <v>107</v>
      </c>
      <c r="AI99" s="12">
        <v>8.759872828044699</v>
      </c>
      <c r="AJ99" s="12">
        <v>102.9582822471628</v>
      </c>
      <c r="AK99" s="9" t="s">
        <v>510</v>
      </c>
      <c r="AL99" s="9" t="s">
        <v>511</v>
      </c>
      <c r="AM99" s="9" t="s">
        <v>429</v>
      </c>
      <c r="AN99" s="9" t="s">
        <v>35</v>
      </c>
      <c r="AO99" s="9">
        <v>100</v>
      </c>
      <c r="AP99" s="9" t="s">
        <v>98</v>
      </c>
      <c r="AQ99" s="9">
        <v>2</v>
      </c>
      <c r="AR99" s="9" t="s">
        <v>470</v>
      </c>
      <c r="AS99" s="9" t="s">
        <v>512</v>
      </c>
      <c r="AT99" s="9" t="s">
        <v>513</v>
      </c>
    </row>
  </sheetData>
  <mergeCells count="2">
    <mergeCell ref="A1:AT1"/>
    <mergeCell ref="A2:AT2"/>
  </mergeCells>
  <hyperlinks>
    <hyperlink ref="AS7" r:id="rId1"/>
    <hyperlink ref="AS8" r:id="rId2"/>
    <hyperlink ref="AS9" r:id="rId3"/>
    <hyperlink ref="AS10" r:id="rId4"/>
    <hyperlink ref="AS11" r:id="rId5"/>
    <hyperlink ref="AS12" r:id="rId6"/>
    <hyperlink ref="AS13" r:id="rId7"/>
    <hyperlink ref="AS14" r:id="rId8"/>
    <hyperlink ref="AS15" r:id="rId9"/>
    <hyperlink ref="AS16" r:id="rId10"/>
    <hyperlink ref="AS17" r:id="rId11"/>
    <hyperlink ref="AS18" r:id="rId12"/>
    <hyperlink ref="AS19" r:id="rId13"/>
    <hyperlink ref="AS20" r:id="rId14"/>
    <hyperlink ref="AS21" r:id="rId15"/>
    <hyperlink ref="AS22" r:id="rId16"/>
    <hyperlink ref="AS23" r:id="rId17"/>
    <hyperlink ref="AS24" r:id="rId18"/>
    <hyperlink ref="AS25" r:id="rId19"/>
    <hyperlink ref="AS26" r:id="rId20"/>
    <hyperlink ref="AS27" r:id="rId21"/>
    <hyperlink ref="AS28" r:id="rId22"/>
    <hyperlink ref="AS29" r:id="rId23"/>
    <hyperlink ref="AS30" r:id="rId24"/>
    <hyperlink ref="AS31" r:id="rId25"/>
    <hyperlink ref="AS32" r:id="rId26"/>
    <hyperlink ref="AS33" r:id="rId27"/>
    <hyperlink ref="AS34" r:id="rId28"/>
    <hyperlink ref="AS35" r:id="rId29"/>
    <hyperlink ref="AS36" r:id="rId30"/>
    <hyperlink ref="AS37" r:id="rId31"/>
    <hyperlink ref="AS38" r:id="rId32"/>
    <hyperlink ref="AS39" r:id="rId33"/>
    <hyperlink ref="AS40" r:id="rId34"/>
    <hyperlink ref="AS41" r:id="rId35"/>
    <hyperlink ref="AS42" r:id="rId36"/>
    <hyperlink ref="AS43" r:id="rId37"/>
    <hyperlink ref="AS44" r:id="rId38"/>
    <hyperlink ref="AS45" r:id="rId39"/>
    <hyperlink ref="AS46" r:id="rId40"/>
    <hyperlink ref="AS47" r:id="rId41"/>
    <hyperlink ref="AS48" r:id="rId42"/>
    <hyperlink ref="AS49" r:id="rId43"/>
    <hyperlink ref="AS50" r:id="rId44"/>
    <hyperlink ref="AS51" r:id="rId45"/>
    <hyperlink ref="AS52" r:id="rId46"/>
    <hyperlink ref="AS53" r:id="rId47"/>
    <hyperlink ref="AS54" r:id="rId48"/>
    <hyperlink ref="AS55" r:id="rId49"/>
    <hyperlink ref="AS56" r:id="rId50"/>
    <hyperlink ref="AS57" r:id="rId51"/>
    <hyperlink ref="AS58" r:id="rId52"/>
    <hyperlink ref="AS59" r:id="rId53"/>
    <hyperlink ref="AS60" r:id="rId54"/>
    <hyperlink ref="AS61" r:id="rId55"/>
    <hyperlink ref="AS62" r:id="rId56"/>
    <hyperlink ref="AS63" r:id="rId57"/>
    <hyperlink ref="AS64" r:id="rId58"/>
    <hyperlink ref="AS65" r:id="rId59"/>
    <hyperlink ref="AS66" r:id="rId60"/>
    <hyperlink ref="AS67" r:id="rId61"/>
    <hyperlink ref="AS68" r:id="rId62"/>
    <hyperlink ref="AS69" r:id="rId63"/>
    <hyperlink ref="AS70" r:id="rId64"/>
    <hyperlink ref="AS71" r:id="rId65"/>
    <hyperlink ref="AS72" r:id="rId66"/>
    <hyperlink ref="AS73" r:id="rId67"/>
    <hyperlink ref="AR74" r:id="rId68"/>
    <hyperlink ref="AS74" r:id="rId69"/>
    <hyperlink ref="AS75" r:id="rId70"/>
    <hyperlink ref="AS76" r:id="rId71"/>
    <hyperlink ref="AS77" r:id="rId72"/>
    <hyperlink ref="AS78" r:id="rId73"/>
    <hyperlink ref="AR79" r:id="rId74"/>
    <hyperlink ref="AS79" r:id="rId75"/>
    <hyperlink ref="AS80" r:id="rId76"/>
    <hyperlink ref="AS81" r:id="rId77"/>
    <hyperlink ref="AS82" r:id="rId78"/>
    <hyperlink ref="AS83" r:id="rId79"/>
    <hyperlink ref="AS84" r:id="rId80"/>
    <hyperlink ref="AS85" r:id="rId81"/>
    <hyperlink ref="AS86" r:id="rId82"/>
    <hyperlink ref="AS87" r:id="rId83"/>
    <hyperlink ref="AS88" r:id="rId84"/>
    <hyperlink ref="AS89" r:id="rId85"/>
    <hyperlink ref="AS90" r:id="rId86"/>
    <hyperlink ref="AS91" r:id="rId87"/>
    <hyperlink ref="AS92" r:id="rId88"/>
    <hyperlink ref="AS93" r:id="rId89"/>
    <hyperlink ref="AS94" r:id="rId90"/>
    <hyperlink ref="AS95" r:id="rId91"/>
    <hyperlink ref="AS96" r:id="rId92"/>
    <hyperlink ref="AS97" r:id="rId93"/>
    <hyperlink ref="AS98" r:id="rId94"/>
    <hyperlink ref="AS99" r:id="rId95"/>
  </hyperlinks>
  <pageMargins left="0.7" right="0.7" top="0.75" bottom="0.75" header="0.3" footer="0.3"/>
  <tableParts count="1">
    <tablePart r:id="rId96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14.7109375" customWidth="1"/>
    <col min="4" max="5" width="16.7109375" customWidth="1"/>
    <col min="6" max="6" width="11.7109375" customWidth="1"/>
    <col min="7" max="8" width="18.7109375" customWidth="1"/>
    <col min="9" max="10" width="16.7109375" customWidth="1"/>
    <col min="11" max="11" width="18.7109375" customWidth="1"/>
    <col min="12" max="12" width="52.7109375" customWidth="1"/>
    <col min="13" max="13" width="30.7109375" customWidth="1"/>
    <col min="14" max="14" width="54.7109375" customWidth="1"/>
  </cols>
  <sheetData>
    <row r="1" spans="1:14" ht="28" customHeight="1">
      <c r="A1" s="1" t="s">
        <v>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515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spans="1:14" ht="34" customHeight="1">
      <c r="A6" t="s">
        <v>52</v>
      </c>
      <c r="B6" t="s">
        <v>516</v>
      </c>
      <c r="C6" t="s">
        <v>517</v>
      </c>
      <c r="D6" t="s">
        <v>79</v>
      </c>
      <c r="E6" t="s">
        <v>518</v>
      </c>
      <c r="F6" t="s">
        <v>27</v>
      </c>
      <c r="G6" t="s">
        <v>77</v>
      </c>
      <c r="H6" t="s">
        <v>519</v>
      </c>
      <c r="I6" t="s">
        <v>520</v>
      </c>
      <c r="J6" t="s">
        <v>521</v>
      </c>
      <c r="K6" t="s">
        <v>78</v>
      </c>
      <c r="L6" t="s">
        <v>84</v>
      </c>
      <c r="M6" t="s">
        <v>522</v>
      </c>
      <c r="N6" t="s">
        <v>523</v>
      </c>
    </row>
    <row r="7" spans="1:14" ht="42" customHeight="1">
      <c r="A7" s="9" t="s">
        <v>420</v>
      </c>
      <c r="B7" s="9" t="s">
        <v>421</v>
      </c>
      <c r="C7" s="8">
        <v>45190</v>
      </c>
      <c r="D7" s="8">
        <v>44957</v>
      </c>
      <c r="E7" s="8">
        <v>45008</v>
      </c>
      <c r="F7" s="9" t="s">
        <v>107</v>
      </c>
      <c r="G7" s="10">
        <v>3653708000</v>
      </c>
      <c r="L7" s="13" t="s">
        <v>428</v>
      </c>
      <c r="M7" s="13" t="s">
        <v>427</v>
      </c>
      <c r="N7" s="13" t="s">
        <v>524</v>
      </c>
    </row>
    <row r="8" spans="1:14" ht="42" customHeight="1">
      <c r="A8" s="9" t="s">
        <v>433</v>
      </c>
      <c r="B8" s="9" t="s">
        <v>434</v>
      </c>
      <c r="C8" s="8">
        <v>44707</v>
      </c>
      <c r="D8" s="8">
        <v>44589</v>
      </c>
      <c r="E8" s="8">
        <v>44644</v>
      </c>
      <c r="F8" s="9" t="s">
        <v>107</v>
      </c>
      <c r="G8" s="10">
        <v>12851000000</v>
      </c>
      <c r="H8" s="10">
        <v>2387000000</v>
      </c>
      <c r="I8" s="10">
        <v>276000000</v>
      </c>
      <c r="J8" s="10">
        <v>303000000</v>
      </c>
      <c r="K8" s="10">
        <v>2966000000</v>
      </c>
      <c r="L8" s="13" t="s">
        <v>440</v>
      </c>
      <c r="M8" s="13" t="s">
        <v>439</v>
      </c>
      <c r="N8" s="13" t="s">
        <v>525</v>
      </c>
    </row>
    <row r="9" spans="1:14" ht="42" customHeight="1">
      <c r="A9" s="9" t="s">
        <v>444</v>
      </c>
      <c r="B9" s="9" t="s">
        <v>445</v>
      </c>
      <c r="C9" s="8">
        <v>44640</v>
      </c>
      <c r="D9" s="8">
        <v>44592</v>
      </c>
      <c r="E9" s="8">
        <v>44643</v>
      </c>
      <c r="F9" s="9" t="s">
        <v>107</v>
      </c>
      <c r="G9" s="10">
        <v>592200000</v>
      </c>
      <c r="L9" s="13" t="s">
        <v>449</v>
      </c>
      <c r="M9" s="13" t="s">
        <v>448</v>
      </c>
      <c r="N9" s="13" t="s">
        <v>526</v>
      </c>
    </row>
    <row r="10" spans="1:14" ht="42" customHeight="1">
      <c r="A10" s="9" t="s">
        <v>454</v>
      </c>
      <c r="B10" s="9" t="s">
        <v>455</v>
      </c>
      <c r="C10" s="8">
        <v>44592</v>
      </c>
      <c r="D10" s="8">
        <v>44561</v>
      </c>
      <c r="E10" s="8">
        <v>44608</v>
      </c>
      <c r="F10" s="9" t="s">
        <v>107</v>
      </c>
      <c r="G10" s="10">
        <v>3217170000</v>
      </c>
      <c r="L10" s="13" t="s">
        <v>459</v>
      </c>
      <c r="M10" s="13" t="s">
        <v>458</v>
      </c>
      <c r="N10" s="13" t="s">
        <v>461</v>
      </c>
    </row>
    <row r="11" spans="1:14" ht="42" customHeight="1">
      <c r="A11" s="9" t="s">
        <v>463</v>
      </c>
      <c r="B11" s="9" t="s">
        <v>464</v>
      </c>
      <c r="C11" s="8">
        <v>44579</v>
      </c>
      <c r="D11" s="8">
        <v>44196</v>
      </c>
      <c r="E11" s="8">
        <v>44250</v>
      </c>
      <c r="F11" s="9" t="s">
        <v>107</v>
      </c>
      <c r="G11" s="10">
        <v>8086000000</v>
      </c>
      <c r="H11" s="10">
        <v>2734000000</v>
      </c>
      <c r="L11" s="13" t="s">
        <v>469</v>
      </c>
      <c r="M11" s="13" t="s">
        <v>468</v>
      </c>
      <c r="N11" s="13" t="s">
        <v>527</v>
      </c>
    </row>
    <row r="12" spans="1:14" ht="42" customHeight="1">
      <c r="A12" s="9" t="s">
        <v>473</v>
      </c>
      <c r="B12" s="9" t="s">
        <v>474</v>
      </c>
      <c r="C12" s="8">
        <v>44166</v>
      </c>
      <c r="D12" s="8">
        <v>43861</v>
      </c>
      <c r="E12" s="8">
        <v>43902</v>
      </c>
      <c r="F12" s="9" t="s">
        <v>107</v>
      </c>
      <c r="G12" s="10">
        <v>630422000</v>
      </c>
      <c r="L12" s="13" t="s">
        <v>478</v>
      </c>
      <c r="M12" s="13" t="s">
        <v>477</v>
      </c>
      <c r="N12" s="13" t="s">
        <v>528</v>
      </c>
    </row>
    <row r="13" spans="1:14" ht="42" customHeight="1">
      <c r="A13" s="9" t="s">
        <v>482</v>
      </c>
      <c r="B13" s="9" t="s">
        <v>483</v>
      </c>
      <c r="C13" s="8">
        <v>44131</v>
      </c>
      <c r="D13" s="8">
        <v>43918</v>
      </c>
      <c r="E13" s="8">
        <v>43966</v>
      </c>
      <c r="F13" s="9" t="s">
        <v>107</v>
      </c>
      <c r="G13" s="10">
        <v>3162666000</v>
      </c>
      <c r="L13" s="13" t="s">
        <v>487</v>
      </c>
      <c r="M13" s="13" t="s">
        <v>486</v>
      </c>
      <c r="N13" s="13" t="s">
        <v>529</v>
      </c>
    </row>
    <row r="14" spans="1:14" ht="42" customHeight="1">
      <c r="A14" s="9" t="s">
        <v>491</v>
      </c>
      <c r="B14" s="9" t="s">
        <v>492</v>
      </c>
      <c r="C14" s="8">
        <v>43626</v>
      </c>
      <c r="D14" s="8">
        <v>43465</v>
      </c>
      <c r="E14" s="8">
        <v>43518</v>
      </c>
      <c r="F14" s="9" t="s">
        <v>107</v>
      </c>
      <c r="G14" s="10">
        <v>1159000000</v>
      </c>
      <c r="L14" s="13" t="s">
        <v>495</v>
      </c>
      <c r="M14" s="13" t="s">
        <v>494</v>
      </c>
      <c r="N14" s="13" t="s">
        <v>530</v>
      </c>
    </row>
    <row r="15" spans="1:14" ht="42" customHeight="1">
      <c r="A15" s="9" t="s">
        <v>498</v>
      </c>
      <c r="B15" s="9" t="s">
        <v>499</v>
      </c>
      <c r="C15" s="8">
        <v>43401</v>
      </c>
      <c r="D15" s="8">
        <v>43159</v>
      </c>
      <c r="E15" s="8">
        <v>43215</v>
      </c>
      <c r="F15" s="9" t="s">
        <v>107</v>
      </c>
      <c r="G15" s="10">
        <v>2920461000</v>
      </c>
      <c r="H15" s="10">
        <v>472442000</v>
      </c>
      <c r="L15" s="13" t="s">
        <v>503</v>
      </c>
      <c r="M15" s="13" t="s">
        <v>502</v>
      </c>
      <c r="N15" s="13" t="s">
        <v>531</v>
      </c>
    </row>
    <row r="16" spans="1:14" ht="42" customHeight="1">
      <c r="A16" s="9" t="s">
        <v>507</v>
      </c>
      <c r="B16" s="9" t="s">
        <v>508</v>
      </c>
      <c r="C16" s="8">
        <v>42534</v>
      </c>
      <c r="D16" s="8">
        <v>42369</v>
      </c>
      <c r="E16" s="8">
        <v>42412</v>
      </c>
      <c r="F16" s="9" t="s">
        <v>107</v>
      </c>
      <c r="G16" s="10">
        <v>2990911000</v>
      </c>
      <c r="J16" s="10">
        <v>420472000</v>
      </c>
      <c r="K16" s="10">
        <v>254472000</v>
      </c>
      <c r="L16" s="13" t="s">
        <v>511</v>
      </c>
      <c r="M16" s="13" t="s">
        <v>510</v>
      </c>
      <c r="N16" s="13" t="s">
        <v>532</v>
      </c>
    </row>
  </sheetData>
  <mergeCells count="2">
    <mergeCell ref="A1:N1"/>
    <mergeCell ref="A2:N2"/>
  </mergeCells>
  <hyperlinks>
    <hyperlink ref="N7" r:id="rId1"/>
    <hyperlink ref="N8" r:id="rId2"/>
    <hyperlink ref="N9" r:id="rId3"/>
    <hyperlink ref="N10" r:id="rId4"/>
    <hyperlink ref="N11" r:id="rId5"/>
    <hyperlink ref="N12" r:id="rId6"/>
    <hyperlink ref="N13" r:id="rId7"/>
    <hyperlink ref="N14" r:id="rId8"/>
    <hyperlink ref="N15" r:id="rId9"/>
    <hyperlink ref="N16" r:id="rId10"/>
  </hyperlinks>
  <pageMargins left="0.7" right="0.7" top="0.75" bottom="0.75" header="0.3" footer="0.3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3" width="24.7109375" customWidth="1"/>
    <col min="4" max="4" width="20.7109375" customWidth="1"/>
    <col min="5" max="5" width="12.7109375" customWidth="1"/>
    <col min="6" max="7" width="18.7109375" customWidth="1"/>
    <col min="8" max="8" width="16.7109375" customWidth="1"/>
    <col min="9" max="9" width="12.7109375" customWidth="1"/>
    <col min="10" max="10" width="22.7109375" customWidth="1"/>
    <col min="11" max="13" width="14.7109375" customWidth="1"/>
    <col min="14" max="14" width="32.7109375" customWidth="1"/>
    <col min="15" max="15" width="58.7109375" customWidth="1"/>
  </cols>
  <sheetData>
    <row r="1" spans="1:15" ht="28" customHeight="1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6" spans="1:15" ht="34" customHeight="1">
      <c r="A6" t="s">
        <v>52</v>
      </c>
      <c r="B6" t="s">
        <v>21</v>
      </c>
      <c r="C6" t="s">
        <v>516</v>
      </c>
      <c r="D6" t="s">
        <v>59</v>
      </c>
      <c r="E6" t="s">
        <v>535</v>
      </c>
      <c r="F6" t="s">
        <v>77</v>
      </c>
      <c r="G6" t="s">
        <v>78</v>
      </c>
      <c r="H6" t="s">
        <v>80</v>
      </c>
      <c r="I6" t="s">
        <v>28</v>
      </c>
      <c r="J6" t="s">
        <v>536</v>
      </c>
      <c r="K6" t="s">
        <v>81</v>
      </c>
      <c r="L6" t="s">
        <v>82</v>
      </c>
      <c r="M6" t="s">
        <v>537</v>
      </c>
      <c r="N6" t="s">
        <v>83</v>
      </c>
      <c r="O6" t="s">
        <v>538</v>
      </c>
    </row>
    <row r="7" spans="1:15">
      <c r="A7" s="9" t="s">
        <v>128</v>
      </c>
      <c r="B7" s="8">
        <v>46209</v>
      </c>
      <c r="C7" s="9" t="s">
        <v>34</v>
      </c>
      <c r="E7" s="9" t="s">
        <v>34</v>
      </c>
      <c r="H7" s="9" t="s">
        <v>34</v>
      </c>
      <c r="I7" s="9" t="s">
        <v>130</v>
      </c>
      <c r="J7" s="9" t="s">
        <v>539</v>
      </c>
      <c r="K7" s="12">
        <f>IFERROR(IF(AND(D7&gt;0,F7&gt;0,E7=H7),D7/F7,""),"")</f>
        <v/>
      </c>
      <c r="L7" s="12">
        <f>IFERROR(IF(AND(D7&gt;0,G7&gt;0,E7=H7),D7/G7,""),"")</f>
        <v/>
      </c>
      <c r="M7" t="str">
        <f>IF(AND(I7="approved",J7="YES",OR(K7&gt;0,L7&gt;0)),"YES","NO")</f>
        <v>NO</v>
      </c>
      <c r="N7" s="9" t="s">
        <v>34</v>
      </c>
      <c r="O7" s="9" t="s">
        <v>96</v>
      </c>
    </row>
    <row r="8" spans="1:15">
      <c r="A8" s="9" t="s">
        <v>148</v>
      </c>
      <c r="B8" s="8">
        <v>46206</v>
      </c>
      <c r="C8" s="9" t="s">
        <v>34</v>
      </c>
      <c r="E8" s="9" t="s">
        <v>34</v>
      </c>
      <c r="H8" s="9" t="s">
        <v>34</v>
      </c>
      <c r="I8" s="9" t="s">
        <v>97</v>
      </c>
      <c r="J8" s="9" t="s">
        <v>539</v>
      </c>
      <c r="K8" s="12">
        <f>IFERROR(IF(AND(D8&gt;0,F8&gt;0,E8=H8),D8/F8,""),"")</f>
        <v/>
      </c>
      <c r="L8" s="12">
        <f>IFERROR(IF(AND(D8&gt;0,G8&gt;0,E8=H8),D8/G8,""),"")</f>
        <v/>
      </c>
      <c r="M8" t="str">
        <f>IF(AND(I8="approved",J8="YES",OR(K8&gt;0,L8&gt;0)),"YES","NO")</f>
        <v>NO</v>
      </c>
      <c r="N8" s="9" t="s">
        <v>34</v>
      </c>
      <c r="O8" s="9" t="s">
        <v>96</v>
      </c>
    </row>
    <row r="9" spans="1:15">
      <c r="A9" s="9" t="s">
        <v>194</v>
      </c>
      <c r="B9" s="8">
        <v>46204</v>
      </c>
      <c r="C9" s="9" t="s">
        <v>34</v>
      </c>
      <c r="E9" s="9" t="s">
        <v>39</v>
      </c>
      <c r="H9" s="9" t="s">
        <v>34</v>
      </c>
      <c r="I9" s="9" t="s">
        <v>130</v>
      </c>
      <c r="J9" s="9" t="s">
        <v>539</v>
      </c>
      <c r="K9" s="12">
        <f>IFERROR(IF(AND(D9&gt;0,F9&gt;0,E9=H9),D9/F9,""),"")</f>
        <v/>
      </c>
      <c r="L9" s="12">
        <f>IFERROR(IF(AND(D9&gt;0,G9&gt;0,E9=H9),D9/G9,""),"")</f>
        <v/>
      </c>
      <c r="M9" t="str">
        <f>IF(AND(I9="approved",J9="YES",OR(K9&gt;0,L9&gt;0)),"YES","NO")</f>
        <v>NO</v>
      </c>
      <c r="N9" s="9" t="s">
        <v>34</v>
      </c>
      <c r="O9" s="9" t="s">
        <v>96</v>
      </c>
    </row>
    <row r="10" spans="1:15">
      <c r="A10" s="9" t="s">
        <v>198</v>
      </c>
      <c r="B10" s="8">
        <v>46204</v>
      </c>
      <c r="C10" s="9" t="s">
        <v>34</v>
      </c>
      <c r="E10" s="9" t="s">
        <v>34</v>
      </c>
      <c r="H10" s="9" t="s">
        <v>34</v>
      </c>
      <c r="I10" s="9" t="s">
        <v>130</v>
      </c>
      <c r="J10" s="9" t="s">
        <v>539</v>
      </c>
      <c r="K10" s="12">
        <f>IFERROR(IF(AND(D10&gt;0,F10&gt;0,E10=H10),D10/F10,""),"")</f>
        <v/>
      </c>
      <c r="L10" s="12">
        <f>IFERROR(IF(AND(D10&gt;0,G10&gt;0,E10=H10),D10/G10,""),"")</f>
        <v/>
      </c>
      <c r="M10" t="str">
        <f>IF(AND(I10="approved",J10="YES",OR(K10&gt;0,L10&gt;0)),"YES","NO")</f>
        <v>NO</v>
      </c>
      <c r="N10" s="9" t="s">
        <v>34</v>
      </c>
      <c r="O10" s="9" t="s">
        <v>96</v>
      </c>
    </row>
    <row r="11" spans="1:15">
      <c r="A11" s="9" t="s">
        <v>262</v>
      </c>
      <c r="B11" s="8">
        <v>46200</v>
      </c>
      <c r="C11" s="9" t="s">
        <v>34</v>
      </c>
      <c r="E11" s="9" t="s">
        <v>34</v>
      </c>
      <c r="H11" s="9" t="s">
        <v>34</v>
      </c>
      <c r="I11" s="9" t="s">
        <v>130</v>
      </c>
      <c r="J11" s="9" t="s">
        <v>539</v>
      </c>
      <c r="K11" s="12">
        <f>IFERROR(IF(AND(D11&gt;0,F11&gt;0,E11=H11),D11/F11,""),"")</f>
        <v/>
      </c>
      <c r="L11" s="12">
        <f>IFERROR(IF(AND(D11&gt;0,G11&gt;0,E11=H11),D11/G11,""),"")</f>
        <v/>
      </c>
      <c r="M11" t="str">
        <f>IF(AND(I11="approved",J11="YES",OR(K11&gt;0,L11&gt;0)),"YES","NO")</f>
        <v>NO</v>
      </c>
      <c r="N11" s="9" t="s">
        <v>34</v>
      </c>
      <c r="O11" s="9" t="s">
        <v>96</v>
      </c>
    </row>
    <row r="12" spans="1:15">
      <c r="A12" s="9" t="s">
        <v>302</v>
      </c>
      <c r="B12" s="8">
        <v>46177</v>
      </c>
      <c r="C12" s="9" t="s">
        <v>305</v>
      </c>
      <c r="E12" s="9" t="s">
        <v>34</v>
      </c>
      <c r="H12" s="9" t="s">
        <v>34</v>
      </c>
      <c r="I12" s="9" t="s">
        <v>97</v>
      </c>
      <c r="J12" s="9" t="s">
        <v>539</v>
      </c>
      <c r="K12" s="12">
        <f>IFERROR(IF(AND(D12&gt;0,F12&gt;0,E12=H12),D12/F12,""),"")</f>
        <v/>
      </c>
      <c r="L12" s="12">
        <f>IFERROR(IF(AND(D12&gt;0,G12&gt;0,E12=H12),D12/G12,""),"")</f>
        <v/>
      </c>
      <c r="M12" t="str">
        <f>IF(AND(I12="approved",J12="YES",OR(K12&gt;0,L12&gt;0)),"YES","NO")</f>
        <v>NO</v>
      </c>
      <c r="N12" s="9" t="s">
        <v>34</v>
      </c>
      <c r="O12" s="9" t="s">
        <v>96</v>
      </c>
    </row>
    <row r="13" spans="1:15">
      <c r="A13" s="9" t="s">
        <v>309</v>
      </c>
      <c r="B13" s="8">
        <v>46175</v>
      </c>
      <c r="C13" s="9" t="s">
        <v>45</v>
      </c>
      <c r="E13" s="9" t="s">
        <v>39</v>
      </c>
      <c r="H13" s="9" t="s">
        <v>34</v>
      </c>
      <c r="I13" s="9" t="s">
        <v>35</v>
      </c>
      <c r="J13" s="9" t="s">
        <v>539</v>
      </c>
      <c r="K13" s="12">
        <f>IFERROR(IF(AND(D13&gt;0,F13&gt;0,E13=H13),D13/F13,""),"")</f>
        <v/>
      </c>
      <c r="L13" s="12">
        <f>IFERROR(IF(AND(D13&gt;0,G13&gt;0,E13=H13),D13/G13,""),"")</f>
        <v/>
      </c>
      <c r="M13" t="str">
        <f>IF(AND(I13="approved",J13="YES",OR(K13&gt;0,L13&gt;0)),"YES","NO")</f>
        <v>NO</v>
      </c>
      <c r="N13" s="9" t="s">
        <v>34</v>
      </c>
      <c r="O13" s="9" t="s">
        <v>96</v>
      </c>
    </row>
    <row r="14" spans="1:15">
      <c r="A14" s="9" t="s">
        <v>311</v>
      </c>
      <c r="B14" s="8">
        <v>46170</v>
      </c>
      <c r="C14" s="9" t="s">
        <v>313</v>
      </c>
      <c r="E14" s="9" t="s">
        <v>34</v>
      </c>
      <c r="H14" s="9" t="s">
        <v>34</v>
      </c>
      <c r="I14" s="9" t="s">
        <v>97</v>
      </c>
      <c r="J14" s="9" t="s">
        <v>539</v>
      </c>
      <c r="K14" s="12">
        <f>IFERROR(IF(AND(D14&gt;0,F14&gt;0,E14=H14),D14/F14,""),"")</f>
        <v/>
      </c>
      <c r="L14" s="12">
        <f>IFERROR(IF(AND(D14&gt;0,G14&gt;0,E14=H14),D14/G14,""),"")</f>
        <v/>
      </c>
      <c r="M14" t="str">
        <f>IF(AND(I14="approved",J14="YES",OR(K14&gt;0,L14&gt;0)),"YES","NO")</f>
        <v>NO</v>
      </c>
      <c r="N14" s="9" t="s">
        <v>34</v>
      </c>
      <c r="O14" s="9" t="s">
        <v>96</v>
      </c>
    </row>
    <row r="15" spans="1:15">
      <c r="A15" s="9" t="s">
        <v>316</v>
      </c>
      <c r="B15" s="8">
        <v>46167</v>
      </c>
      <c r="C15" s="9" t="s">
        <v>34</v>
      </c>
      <c r="E15" s="9" t="s">
        <v>34</v>
      </c>
      <c r="H15" s="9" t="s">
        <v>34</v>
      </c>
      <c r="I15" s="9" t="s">
        <v>130</v>
      </c>
      <c r="J15" s="9" t="s">
        <v>539</v>
      </c>
      <c r="K15" s="12">
        <f>IFERROR(IF(AND(D15&gt;0,F15&gt;0,E15=H15),D15/F15,""),"")</f>
        <v/>
      </c>
      <c r="L15" s="12">
        <f>IFERROR(IF(AND(D15&gt;0,G15&gt;0,E15=H15),D15/G15,""),"")</f>
        <v/>
      </c>
      <c r="M15" t="str">
        <f>IF(AND(I15="approved",J15="YES",OR(K15&gt;0,L15&gt;0)),"YES","NO")</f>
        <v>NO</v>
      </c>
      <c r="N15" s="9" t="s">
        <v>34</v>
      </c>
      <c r="O15" s="9" t="s">
        <v>96</v>
      </c>
    </row>
    <row r="16" spans="1:15">
      <c r="A16" s="9" t="s">
        <v>326</v>
      </c>
      <c r="B16" s="8">
        <v>46157</v>
      </c>
      <c r="C16" s="9" t="s">
        <v>34</v>
      </c>
      <c r="E16" s="9" t="s">
        <v>34</v>
      </c>
      <c r="H16" s="9" t="s">
        <v>34</v>
      </c>
      <c r="I16" s="9" t="s">
        <v>130</v>
      </c>
      <c r="J16" s="9" t="s">
        <v>539</v>
      </c>
      <c r="K16" s="12">
        <f>IFERROR(IF(AND(D16&gt;0,F16&gt;0,E16=H16),D16/F16,""),"")</f>
        <v/>
      </c>
      <c r="L16" s="12">
        <f>IFERROR(IF(AND(D16&gt;0,G16&gt;0,E16=H16),D16/G16,""),"")</f>
        <v/>
      </c>
      <c r="M16" t="str">
        <f>IF(AND(I16="approved",J16="YES",OR(K16&gt;0,L16&gt;0)),"YES","NO")</f>
        <v>NO</v>
      </c>
      <c r="N16" s="9" t="s">
        <v>34</v>
      </c>
      <c r="O16" s="9" t="s">
        <v>96</v>
      </c>
    </row>
    <row r="17" spans="1:15">
      <c r="A17" s="9" t="s">
        <v>341</v>
      </c>
      <c r="B17" s="8">
        <v>46139</v>
      </c>
      <c r="C17" s="9" t="s">
        <v>34</v>
      </c>
      <c r="E17" s="9" t="s">
        <v>34</v>
      </c>
      <c r="H17" s="9" t="s">
        <v>34</v>
      </c>
      <c r="I17" s="9" t="s">
        <v>130</v>
      </c>
      <c r="J17" s="9" t="s">
        <v>539</v>
      </c>
      <c r="K17" s="12">
        <f>IFERROR(IF(AND(D17&gt;0,F17&gt;0,E17=H17),D17/F17,""),"")</f>
        <v/>
      </c>
      <c r="L17" s="12">
        <f>IFERROR(IF(AND(D17&gt;0,G17&gt;0,E17=H17),D17/G17,""),"")</f>
        <v/>
      </c>
      <c r="M17" t="str">
        <f>IF(AND(I17="approved",J17="YES",OR(K17&gt;0,L17&gt;0)),"YES","NO")</f>
        <v>NO</v>
      </c>
      <c r="N17" s="9" t="s">
        <v>34</v>
      </c>
      <c r="O17" s="9" t="s">
        <v>96</v>
      </c>
    </row>
    <row r="18" spans="1:15">
      <c r="A18" s="9" t="s">
        <v>344</v>
      </c>
      <c r="B18" s="8">
        <v>46139</v>
      </c>
      <c r="C18" s="9" t="s">
        <v>34</v>
      </c>
      <c r="E18" s="9" t="s">
        <v>34</v>
      </c>
      <c r="H18" s="9" t="s">
        <v>34</v>
      </c>
      <c r="I18" s="9" t="s">
        <v>130</v>
      </c>
      <c r="J18" s="9" t="s">
        <v>539</v>
      </c>
      <c r="K18" s="12">
        <f>IFERROR(IF(AND(D18&gt;0,F18&gt;0,E18=H18),D18/F18,""),"")</f>
        <v/>
      </c>
      <c r="L18" s="12">
        <f>IFERROR(IF(AND(D18&gt;0,G18&gt;0,E18=H18),D18/G18,""),"")</f>
        <v/>
      </c>
      <c r="M18" t="str">
        <f>IF(AND(I18="approved",J18="YES",OR(K18&gt;0,L18&gt;0)),"YES","NO")</f>
        <v>NO</v>
      </c>
      <c r="N18" s="9" t="s">
        <v>34</v>
      </c>
      <c r="O18" s="9" t="s">
        <v>96</v>
      </c>
    </row>
    <row r="19" spans="1:15">
      <c r="A19" s="9" t="s">
        <v>347</v>
      </c>
      <c r="B19" s="8">
        <v>46139</v>
      </c>
      <c r="C19" s="9" t="s">
        <v>34</v>
      </c>
      <c r="E19" s="9" t="s">
        <v>34</v>
      </c>
      <c r="H19" s="9" t="s">
        <v>34</v>
      </c>
      <c r="I19" s="9" t="s">
        <v>130</v>
      </c>
      <c r="J19" s="9" t="s">
        <v>539</v>
      </c>
      <c r="K19" s="12">
        <f>IFERROR(IF(AND(D19&gt;0,F19&gt;0,E19=H19),D19/F19,""),"")</f>
        <v/>
      </c>
      <c r="L19" s="12">
        <f>IFERROR(IF(AND(D19&gt;0,G19&gt;0,E19=H19),D19/G19,""),"")</f>
        <v/>
      </c>
      <c r="M19" t="str">
        <f>IF(AND(I19="approved",J19="YES",OR(K19&gt;0,L19&gt;0)),"YES","NO")</f>
        <v>NO</v>
      </c>
      <c r="N19" s="9" t="s">
        <v>34</v>
      </c>
      <c r="O19" s="9" t="s">
        <v>96</v>
      </c>
    </row>
    <row r="20" spans="1:15">
      <c r="A20" s="9" t="s">
        <v>351</v>
      </c>
      <c r="B20" s="8">
        <v>46139</v>
      </c>
      <c r="C20" s="9" t="s">
        <v>34</v>
      </c>
      <c r="E20" s="9" t="s">
        <v>34</v>
      </c>
      <c r="H20" s="9" t="s">
        <v>34</v>
      </c>
      <c r="I20" s="9" t="s">
        <v>130</v>
      </c>
      <c r="J20" s="9" t="s">
        <v>539</v>
      </c>
      <c r="K20" s="12">
        <f>IFERROR(IF(AND(D20&gt;0,F20&gt;0,E20=H20),D20/F20,""),"")</f>
        <v/>
      </c>
      <c r="L20" s="12">
        <f>IFERROR(IF(AND(D20&gt;0,G20&gt;0,E20=H20),D20/G20,""),"")</f>
        <v/>
      </c>
      <c r="M20" t="str">
        <f>IF(AND(I20="approved",J20="YES",OR(K20&gt;0,L20&gt;0)),"YES","NO")</f>
        <v>NO</v>
      </c>
      <c r="N20" s="9" t="s">
        <v>34</v>
      </c>
      <c r="O20" s="9" t="s">
        <v>96</v>
      </c>
    </row>
    <row r="21" spans="1:15">
      <c r="A21" s="9" t="s">
        <v>355</v>
      </c>
      <c r="B21" s="8">
        <v>46139</v>
      </c>
      <c r="C21" s="9" t="s">
        <v>34</v>
      </c>
      <c r="E21" s="9" t="s">
        <v>34</v>
      </c>
      <c r="H21" s="9" t="s">
        <v>34</v>
      </c>
      <c r="I21" s="9" t="s">
        <v>130</v>
      </c>
      <c r="J21" s="9" t="s">
        <v>539</v>
      </c>
      <c r="K21" s="12">
        <f>IFERROR(IF(AND(D21&gt;0,F21&gt;0,E21=H21),D21/F21,""),"")</f>
        <v/>
      </c>
      <c r="L21" s="12">
        <f>IFERROR(IF(AND(D21&gt;0,G21&gt;0,E21=H21),D21/G21,""),"")</f>
        <v/>
      </c>
      <c r="M21" t="str">
        <f>IF(AND(I21="approved",J21="YES",OR(K21&gt;0,L21&gt;0)),"YES","NO")</f>
        <v>NO</v>
      </c>
      <c r="N21" s="9" t="s">
        <v>34</v>
      </c>
      <c r="O21" s="9" t="s">
        <v>96</v>
      </c>
    </row>
    <row r="22" spans="1:15">
      <c r="A22" s="9" t="s">
        <v>370</v>
      </c>
      <c r="B22" s="8">
        <v>46128</v>
      </c>
      <c r="C22" s="9" t="s">
        <v>371</v>
      </c>
      <c r="E22" s="9" t="s">
        <v>39</v>
      </c>
      <c r="H22" s="9" t="s">
        <v>34</v>
      </c>
      <c r="I22" s="9" t="s">
        <v>97</v>
      </c>
      <c r="J22" s="9" t="s">
        <v>539</v>
      </c>
      <c r="K22" s="12">
        <f>IFERROR(IF(AND(D22&gt;0,F22&gt;0,E22=H22),D22/F22,""),"")</f>
        <v/>
      </c>
      <c r="L22" s="12">
        <f>IFERROR(IF(AND(D22&gt;0,G22&gt;0,E22=H22),D22/G22,""),"")</f>
        <v/>
      </c>
      <c r="M22" t="str">
        <f>IF(AND(I22="approved",J22="YES",OR(K22&gt;0,L22&gt;0)),"YES","NO")</f>
        <v>NO</v>
      </c>
      <c r="N22" s="9" t="s">
        <v>34</v>
      </c>
      <c r="O22" s="9" t="s">
        <v>96</v>
      </c>
    </row>
    <row r="23" spans="1:15">
      <c r="A23" s="9" t="s">
        <v>400</v>
      </c>
      <c r="B23" s="8">
        <v>45642</v>
      </c>
      <c r="C23" s="9" t="s">
        <v>34</v>
      </c>
      <c r="E23" s="9" t="s">
        <v>34</v>
      </c>
      <c r="H23" s="9" t="s">
        <v>34</v>
      </c>
      <c r="I23" s="9" t="s">
        <v>97</v>
      </c>
      <c r="J23" s="9" t="s">
        <v>539</v>
      </c>
      <c r="K23" s="12">
        <f>IFERROR(IF(AND(D23&gt;0,F23&gt;0,E23=H23),D23/F23,""),"")</f>
        <v/>
      </c>
      <c r="L23" s="12">
        <f>IFERROR(IF(AND(D23&gt;0,G23&gt;0,E23=H23),D23/G23,""),"")</f>
        <v/>
      </c>
      <c r="M23" t="str">
        <f>IF(AND(I23="approved",J23="YES",OR(K23&gt;0,L23&gt;0)),"YES","NO")</f>
        <v>NO</v>
      </c>
      <c r="N23" s="9" t="s">
        <v>34</v>
      </c>
      <c r="O23" s="9" t="s">
        <v>96</v>
      </c>
    </row>
    <row r="24" spans="1:15">
      <c r="A24" s="9" t="s">
        <v>415</v>
      </c>
      <c r="B24" s="8">
        <v>45288</v>
      </c>
      <c r="C24" s="9" t="s">
        <v>416</v>
      </c>
      <c r="E24" s="9" t="s">
        <v>34</v>
      </c>
      <c r="H24" s="9" t="s">
        <v>34</v>
      </c>
      <c r="I24" s="9" t="s">
        <v>97</v>
      </c>
      <c r="J24" s="9" t="s">
        <v>539</v>
      </c>
      <c r="K24" s="12">
        <f>IFERROR(IF(AND(D24&gt;0,F24&gt;0,E24=H24),D24/F24,""),"")</f>
        <v/>
      </c>
      <c r="L24" s="12">
        <f>IFERROR(IF(AND(D24&gt;0,G24&gt;0,E24=H24),D24/G24,""),"")</f>
        <v/>
      </c>
      <c r="M24" t="str">
        <f>IF(AND(I24="approved",J24="YES",OR(K24&gt;0,L24&gt;0)),"YES","NO")</f>
        <v>NO</v>
      </c>
      <c r="N24" s="9" t="s">
        <v>34</v>
      </c>
      <c r="O24" s="9" t="s">
        <v>96</v>
      </c>
    </row>
    <row r="25" spans="1:15">
      <c r="A25" s="9" t="s">
        <v>420</v>
      </c>
      <c r="B25" s="8">
        <v>45190</v>
      </c>
      <c r="C25" s="9" t="s">
        <v>421</v>
      </c>
      <c r="E25" s="9" t="s">
        <v>107</v>
      </c>
      <c r="F25" s="10">
        <v>3653708000</v>
      </c>
      <c r="H25" s="9" t="s">
        <v>107</v>
      </c>
      <c r="I25" s="9" t="s">
        <v>35</v>
      </c>
      <c r="J25" s="9" t="s">
        <v>540</v>
      </c>
      <c r="K25" s="12">
        <f>IFERROR(IF(AND(D25&gt;0,F25&gt;0,E25=H25),D25/F25,""),"")</f>
        <v/>
      </c>
      <c r="L25" s="12">
        <f>IFERROR(IF(AND(D25&gt;0,G25&gt;0,E25=H25),D25/G25,""),"")</f>
        <v/>
      </c>
      <c r="M25" t="str">
        <f>IF(AND(I25="approved",J25="YES",OR(K25&gt;0,L25&gt;0)),"YES","NO")</f>
        <v>NO</v>
      </c>
      <c r="N25" s="9" t="s">
        <v>427</v>
      </c>
      <c r="O25" s="9" t="s">
        <v>429</v>
      </c>
    </row>
    <row r="26" spans="1:15">
      <c r="A26" s="9" t="s">
        <v>433</v>
      </c>
      <c r="B26" s="8">
        <v>44707</v>
      </c>
      <c r="C26" s="9" t="s">
        <v>434</v>
      </c>
      <c r="D26" s="10">
        <v>69000000000</v>
      </c>
      <c r="E26" s="9" t="s">
        <v>107</v>
      </c>
      <c r="F26" s="10">
        <v>12851000000</v>
      </c>
      <c r="G26" s="10">
        <v>2966000000</v>
      </c>
      <c r="H26" s="9" t="s">
        <v>107</v>
      </c>
      <c r="I26" s="9" t="s">
        <v>35</v>
      </c>
      <c r="J26" s="9" t="s">
        <v>540</v>
      </c>
      <c r="K26" s="12">
        <f>IFERROR(IF(AND(D26&gt;0,F26&gt;0,E26=H26),D26/F26,""),"")</f>
        <v>5.369231966383939</v>
      </c>
      <c r="L26" s="12">
        <f>IFERROR(IF(AND(D26&gt;0,G26&gt;0,E26=H26),D26/G26,""),"")</f>
        <v>23.263654753877276</v>
      </c>
      <c r="M26" t="str">
        <f>IF(AND(I26="approved",J26="YES",OR(K26&gt;0,L26&gt;0)),"YES","NO")</f>
        <v>YES</v>
      </c>
      <c r="N26" s="9" t="s">
        <v>439</v>
      </c>
      <c r="O26" s="9" t="s">
        <v>429</v>
      </c>
    </row>
    <row r="27" spans="1:15">
      <c r="A27" s="9" t="s">
        <v>444</v>
      </c>
      <c r="B27" s="8">
        <v>44640</v>
      </c>
      <c r="C27" s="9" t="s">
        <v>445</v>
      </c>
      <c r="E27" s="9" t="s">
        <v>107</v>
      </c>
      <c r="F27" s="10">
        <v>592200000</v>
      </c>
      <c r="H27" s="9" t="s">
        <v>107</v>
      </c>
      <c r="I27" s="9" t="s">
        <v>35</v>
      </c>
      <c r="J27" s="9" t="s">
        <v>539</v>
      </c>
      <c r="K27" s="12">
        <f>IFERROR(IF(AND(D27&gt;0,F27&gt;0,E27=H27),D27/F27,""),"")</f>
        <v/>
      </c>
      <c r="L27" s="12">
        <f>IFERROR(IF(AND(D27&gt;0,G27&gt;0,E27=H27),D27/G27,""),"")</f>
        <v/>
      </c>
      <c r="M27" t="str">
        <f>IF(AND(I27="approved",J27="YES",OR(K27&gt;0,L27&gt;0)),"YES","NO")</f>
        <v>NO</v>
      </c>
      <c r="N27" s="9" t="s">
        <v>448</v>
      </c>
      <c r="O27" s="9" t="s">
        <v>450</v>
      </c>
    </row>
    <row r="28" spans="1:15">
      <c r="A28" s="9" t="s">
        <v>454</v>
      </c>
      <c r="B28" s="8">
        <v>44592</v>
      </c>
      <c r="C28" s="9" t="s">
        <v>455</v>
      </c>
      <c r="D28" s="10">
        <v>16500000000</v>
      </c>
      <c r="E28" s="9" t="s">
        <v>107</v>
      </c>
      <c r="F28" s="10">
        <v>3217170000</v>
      </c>
      <c r="H28" s="9" t="s">
        <v>107</v>
      </c>
      <c r="I28" s="9" t="s">
        <v>35</v>
      </c>
      <c r="J28" s="9" t="s">
        <v>539</v>
      </c>
      <c r="K28" s="12">
        <f>IFERROR(IF(AND(D28&gt;0,F28&gt;0,E28=H28),D28/F28,""),"")</f>
        <v>5.1287311519130165</v>
      </c>
      <c r="L28" s="12">
        <f>IFERROR(IF(AND(D28&gt;0,G28&gt;0,E28=H28),D28/G28,""),"")</f>
        <v/>
      </c>
      <c r="M28" t="str">
        <f>IF(AND(I28="approved",J28="YES",OR(K28&gt;0,L28&gt;0)),"YES","NO")</f>
        <v>NO</v>
      </c>
      <c r="N28" s="9" t="s">
        <v>458</v>
      </c>
      <c r="O28" s="9" t="s">
        <v>450</v>
      </c>
    </row>
    <row r="29" spans="1:15">
      <c r="A29" s="9" t="s">
        <v>463</v>
      </c>
      <c r="B29" s="8">
        <v>44579</v>
      </c>
      <c r="C29" s="9" t="s">
        <v>464</v>
      </c>
      <c r="D29" s="10">
        <v>68700000000</v>
      </c>
      <c r="E29" s="9" t="s">
        <v>107</v>
      </c>
      <c r="F29" s="10">
        <v>8086000000</v>
      </c>
      <c r="H29" s="9" t="s">
        <v>107</v>
      </c>
      <c r="I29" s="9" t="s">
        <v>35</v>
      </c>
      <c r="J29" s="9" t="s">
        <v>540</v>
      </c>
      <c r="K29" s="12">
        <f>IFERROR(IF(AND(D29&gt;0,F29&gt;0,E29=H29),D29/F29,""),"")</f>
        <v>8.496166213208014</v>
      </c>
      <c r="L29" s="12">
        <f>IFERROR(IF(AND(D29&gt;0,G29&gt;0,E29=H29),D29/G29,""),"")</f>
        <v/>
      </c>
      <c r="M29" t="str">
        <f>IF(AND(I29="approved",J29="YES",OR(K29&gt;0,L29&gt;0)),"YES","NO")</f>
        <v>YES</v>
      </c>
      <c r="N29" s="9" t="s">
        <v>468</v>
      </c>
      <c r="O29" s="9" t="s">
        <v>429</v>
      </c>
    </row>
    <row r="30" spans="1:15">
      <c r="A30" s="9" t="s">
        <v>473</v>
      </c>
      <c r="B30" s="8">
        <v>44166</v>
      </c>
      <c r="C30" s="9" t="s">
        <v>474</v>
      </c>
      <c r="D30" s="10">
        <v>27700000000</v>
      </c>
      <c r="E30" s="9" t="s">
        <v>107</v>
      </c>
      <c r="F30" s="10">
        <v>630422000</v>
      </c>
      <c r="H30" s="9" t="s">
        <v>107</v>
      </c>
      <c r="I30" s="9" t="s">
        <v>35</v>
      </c>
      <c r="J30" s="9" t="s">
        <v>540</v>
      </c>
      <c r="K30" s="12">
        <f>IFERROR(IF(AND(D30&gt;0,F30&gt;0,E30=H30),D30/F30,""),"")</f>
        <v>43.938821931975724</v>
      </c>
      <c r="L30" s="12">
        <f>IFERROR(IF(AND(D30&gt;0,G30&gt;0,E30=H30),D30/G30,""),"")</f>
        <v/>
      </c>
      <c r="M30" t="str">
        <f>IF(AND(I30="approved",J30="YES",OR(K30&gt;0,L30&gt;0)),"YES","NO")</f>
        <v>YES</v>
      </c>
      <c r="N30" s="9" t="s">
        <v>477</v>
      </c>
      <c r="O30" s="9" t="s">
        <v>429</v>
      </c>
    </row>
    <row r="31" spans="1:15">
      <c r="A31" s="9" t="s">
        <v>482</v>
      </c>
      <c r="B31" s="8">
        <v>44131</v>
      </c>
      <c r="C31" s="9" t="s">
        <v>483</v>
      </c>
      <c r="E31" s="9" t="s">
        <v>107</v>
      </c>
      <c r="F31" s="10">
        <v>3162666000</v>
      </c>
      <c r="H31" s="9" t="s">
        <v>107</v>
      </c>
      <c r="I31" s="9" t="s">
        <v>35</v>
      </c>
      <c r="J31" s="9" t="s">
        <v>540</v>
      </c>
      <c r="K31" s="12">
        <f>IFERROR(IF(AND(D31&gt;0,F31&gt;0,E31=H31),D31/F31,""),"")</f>
        <v/>
      </c>
      <c r="L31" s="12">
        <f>IFERROR(IF(AND(D31&gt;0,G31&gt;0,E31=H31),D31/G31,""),"")</f>
        <v/>
      </c>
      <c r="M31" t="str">
        <f>IF(AND(I31="approved",J31="YES",OR(K31&gt;0,L31&gt;0)),"YES","NO")</f>
        <v>NO</v>
      </c>
      <c r="N31" s="9" t="s">
        <v>486</v>
      </c>
      <c r="O31" s="9" t="s">
        <v>429</v>
      </c>
    </row>
    <row r="32" spans="1:15">
      <c r="A32" s="9" t="s">
        <v>491</v>
      </c>
      <c r="B32" s="8">
        <v>43626</v>
      </c>
      <c r="C32" s="9" t="s">
        <v>492</v>
      </c>
      <c r="D32" s="10">
        <v>15700000000</v>
      </c>
      <c r="E32" s="9" t="s">
        <v>107</v>
      </c>
      <c r="F32" s="10">
        <v>1159000000</v>
      </c>
      <c r="H32" s="9" t="s">
        <v>107</v>
      </c>
      <c r="I32" s="9" t="s">
        <v>35</v>
      </c>
      <c r="J32" s="9" t="s">
        <v>540</v>
      </c>
      <c r="K32" s="12">
        <f>IFERROR(IF(AND(D32&gt;0,F32&gt;0,E32=H32),D32/F32,""),"")</f>
        <v>13.546160483175152</v>
      </c>
      <c r="L32" s="12">
        <f>IFERROR(IF(AND(D32&gt;0,G32&gt;0,E32=H32),D32/G32,""),"")</f>
        <v/>
      </c>
      <c r="M32" t="str">
        <f>IF(AND(I32="approved",J32="YES",OR(K32&gt;0,L32&gt;0)),"YES","NO")</f>
        <v>YES</v>
      </c>
      <c r="N32" s="9" t="s">
        <v>494</v>
      </c>
      <c r="O32" s="9" t="s">
        <v>429</v>
      </c>
    </row>
    <row r="33" spans="1:15">
      <c r="A33" s="9" t="s">
        <v>498</v>
      </c>
      <c r="B33" s="8">
        <v>43401</v>
      </c>
      <c r="C33" s="9" t="s">
        <v>499</v>
      </c>
      <c r="D33" s="10">
        <v>34000000000</v>
      </c>
      <c r="E33" s="9" t="s">
        <v>107</v>
      </c>
      <c r="F33" s="10">
        <v>2920461000</v>
      </c>
      <c r="H33" s="9" t="s">
        <v>107</v>
      </c>
      <c r="I33" s="9" t="s">
        <v>35</v>
      </c>
      <c r="J33" s="9" t="s">
        <v>540</v>
      </c>
      <c r="K33" s="12">
        <f>IFERROR(IF(AND(D33&gt;0,F33&gt;0,E33=H33),D33/F33,""),"")</f>
        <v>11.641997616129782</v>
      </c>
      <c r="L33" s="12">
        <f>IFERROR(IF(AND(D33&gt;0,G33&gt;0,E33=H33),D33/G33,""),"")</f>
        <v/>
      </c>
      <c r="M33" t="str">
        <f>IF(AND(I33="approved",J33="YES",OR(K33&gt;0,L33&gt;0)),"YES","NO")</f>
        <v>YES</v>
      </c>
      <c r="N33" s="9" t="s">
        <v>502</v>
      </c>
      <c r="O33" s="9" t="s">
        <v>429</v>
      </c>
    </row>
    <row r="34" spans="1:15">
      <c r="A34" s="9" t="s">
        <v>507</v>
      </c>
      <c r="B34" s="8">
        <v>42534</v>
      </c>
      <c r="C34" s="9" t="s">
        <v>508</v>
      </c>
      <c r="D34" s="10">
        <v>26200000000</v>
      </c>
      <c r="E34" s="9" t="s">
        <v>107</v>
      </c>
      <c r="F34" s="10">
        <v>2990911000</v>
      </c>
      <c r="G34" s="10">
        <v>254472000</v>
      </c>
      <c r="H34" s="9" t="s">
        <v>107</v>
      </c>
      <c r="I34" s="9" t="s">
        <v>35</v>
      </c>
      <c r="J34" s="9" t="s">
        <v>540</v>
      </c>
      <c r="K34" s="12">
        <f>IFERROR(IF(AND(D34&gt;0,F34&gt;0,E34=H34),D34/F34,""),"")</f>
        <v>8.7598728280447</v>
      </c>
      <c r="L34" s="12">
        <f>IFERROR(IF(AND(D34&gt;0,G34&gt;0,E34=H34),D34/G34,""),"")</f>
        <v>102.95828224716276</v>
      </c>
      <c r="M34" t="str">
        <f>IF(AND(I34="approved",J34="YES",OR(K34&gt;0,L34&gt;0)),"YES","NO")</f>
        <v>YES</v>
      </c>
      <c r="N34" s="9" t="s">
        <v>510</v>
      </c>
      <c r="O34" s="9" t="s">
        <v>429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24.7109375" customWidth="1"/>
    <col min="4" max="4" width="28.7109375" customWidth="1"/>
    <col min="5" max="5" width="18.7109375" customWidth="1"/>
    <col min="6" max="6" width="13.7109375" customWidth="1"/>
    <col min="7" max="7" width="54.7109375" customWidth="1"/>
    <col min="8" max="8" width="14.7109375" customWidth="1"/>
    <col min="9" max="9" width="16.7109375" customWidth="1"/>
    <col min="10" max="11" width="58.7109375" customWidth="1"/>
    <col min="13" max="13" width="34.7109375" customWidth="1"/>
    <col min="14" max="18" width="12.7109375" customWidth="1"/>
  </cols>
  <sheetData>
    <row r="1" spans="1:18" ht="28" customHeight="1">
      <c r="A1" s="1" t="s">
        <v>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542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>
      <c r="M4" s="3" t="s">
        <v>626</v>
      </c>
      <c r="N4" s="3"/>
      <c r="O4" s="3"/>
      <c r="P4" s="3"/>
      <c r="Q4" s="3"/>
      <c r="R4" s="3"/>
    </row>
    <row r="6" spans="1:18" ht="34" customHeight="1">
      <c r="A6" t="s">
        <v>52</v>
      </c>
      <c r="B6" t="s">
        <v>21</v>
      </c>
      <c r="C6" t="s">
        <v>24</v>
      </c>
      <c r="D6" t="s">
        <v>543</v>
      </c>
      <c r="E6" t="s">
        <v>544</v>
      </c>
      <c r="F6" t="s">
        <v>87</v>
      </c>
      <c r="G6" t="s">
        <v>545</v>
      </c>
      <c r="H6" t="s">
        <v>546</v>
      </c>
      <c r="I6" t="s">
        <v>547</v>
      </c>
      <c r="J6" t="s">
        <v>548</v>
      </c>
      <c r="K6" t="s">
        <v>30</v>
      </c>
      <c r="M6" s="4" t="s">
        <v>627</v>
      </c>
      <c r="N6" s="4" t="s">
        <v>628</v>
      </c>
      <c r="O6" s="4" t="s">
        <v>629</v>
      </c>
      <c r="P6" s="4" t="s">
        <v>630</v>
      </c>
      <c r="Q6" s="4" t="s">
        <v>631</v>
      </c>
      <c r="R6" s="4" t="s">
        <v>23</v>
      </c>
    </row>
    <row r="7" spans="1:18" ht="28" customHeight="1">
      <c r="A7" s="9" t="s">
        <v>91</v>
      </c>
      <c r="B7" s="8">
        <v>46211</v>
      </c>
      <c r="C7" s="9" t="s">
        <v>34</v>
      </c>
      <c r="D7" s="9" t="s">
        <v>99</v>
      </c>
      <c r="E7" s="9" t="s">
        <v>549</v>
      </c>
      <c r="F7" s="9" t="s">
        <v>98</v>
      </c>
      <c r="G7" s="9" t="s">
        <v>100</v>
      </c>
      <c r="H7" s="8">
        <v>46211</v>
      </c>
      <c r="I7" s="9">
        <v>1</v>
      </c>
      <c r="J7" s="13" t="s">
        <v>100</v>
      </c>
      <c r="K7" s="13" t="s">
        <v>101</v>
      </c>
      <c r="M7" t="s">
        <v>632</v>
      </c>
      <c r="N7">
        <v>0</v>
      </c>
      <c r="O7">
        <v>0</v>
      </c>
      <c r="P7">
        <v>0</v>
      </c>
      <c r="Q7">
        <v>0</v>
      </c>
      <c r="R7" t="s">
        <v>13</v>
      </c>
    </row>
    <row r="8" spans="1:18" ht="28" customHeight="1">
      <c r="A8" s="9" t="s">
        <v>102</v>
      </c>
      <c r="B8" s="8">
        <v>46211</v>
      </c>
      <c r="C8" s="9" t="s">
        <v>105</v>
      </c>
      <c r="D8" s="9" t="s">
        <v>110</v>
      </c>
      <c r="E8" s="9" t="s">
        <v>550</v>
      </c>
      <c r="F8" s="9" t="s">
        <v>109</v>
      </c>
      <c r="G8" s="9" t="s">
        <v>111</v>
      </c>
      <c r="H8" s="9"/>
      <c r="I8" s="9">
        <v>2</v>
      </c>
      <c r="J8" s="13" t="s">
        <v>551</v>
      </c>
      <c r="K8" s="13" t="s">
        <v>112</v>
      </c>
      <c r="M8" t="s">
        <v>633</v>
      </c>
      <c r="N8">
        <v>0</v>
      </c>
      <c r="O8">
        <v>0</v>
      </c>
      <c r="P8">
        <v>0</v>
      </c>
      <c r="Q8">
        <v>0</v>
      </c>
      <c r="R8" t="s">
        <v>13</v>
      </c>
    </row>
    <row r="9" spans="1:18" ht="28" customHeight="1">
      <c r="A9" s="9" t="s">
        <v>113</v>
      </c>
      <c r="B9" s="8">
        <v>46210</v>
      </c>
      <c r="C9" s="9" t="s">
        <v>32</v>
      </c>
      <c r="D9" s="9" t="s">
        <v>99</v>
      </c>
      <c r="E9" s="9" t="s">
        <v>549</v>
      </c>
      <c r="F9" s="9" t="s">
        <v>98</v>
      </c>
      <c r="G9" s="9" t="s">
        <v>114</v>
      </c>
      <c r="H9" s="8">
        <v>46210</v>
      </c>
      <c r="I9" s="9">
        <v>1</v>
      </c>
      <c r="J9" s="13" t="s">
        <v>114</v>
      </c>
      <c r="K9" s="13" t="s">
        <v>36</v>
      </c>
      <c r="M9" t="s">
        <v>634</v>
      </c>
      <c r="N9">
        <v>0</v>
      </c>
      <c r="O9">
        <v>0</v>
      </c>
      <c r="P9">
        <v>0</v>
      </c>
      <c r="Q9">
        <v>0</v>
      </c>
      <c r="R9" t="s">
        <v>13</v>
      </c>
    </row>
    <row r="10" spans="1:18" ht="28" customHeight="1">
      <c r="A10" s="9" t="s">
        <v>115</v>
      </c>
      <c r="B10" s="8">
        <v>46210</v>
      </c>
      <c r="C10" s="9" t="s">
        <v>34</v>
      </c>
      <c r="D10" s="9" t="s">
        <v>99</v>
      </c>
      <c r="E10" s="9" t="s">
        <v>549</v>
      </c>
      <c r="F10" s="9" t="s">
        <v>98</v>
      </c>
      <c r="G10" s="9" t="s">
        <v>118</v>
      </c>
      <c r="H10" s="8">
        <v>46210</v>
      </c>
      <c r="I10" s="9">
        <v>1</v>
      </c>
      <c r="J10" s="13" t="s">
        <v>118</v>
      </c>
      <c r="K10" s="13" t="s">
        <v>119</v>
      </c>
      <c r="M10" t="s">
        <v>635</v>
      </c>
      <c r="N10">
        <v>0</v>
      </c>
      <c r="O10">
        <v>0</v>
      </c>
      <c r="P10">
        <v>0</v>
      </c>
      <c r="Q10">
        <v>0</v>
      </c>
      <c r="R10" t="s">
        <v>13</v>
      </c>
    </row>
    <row r="11" spans="1:18" ht="28" customHeight="1">
      <c r="A11" s="9" t="s">
        <v>120</v>
      </c>
      <c r="B11" s="8">
        <v>46209</v>
      </c>
      <c r="C11" s="9" t="s">
        <v>34</v>
      </c>
      <c r="D11" s="9" t="s">
        <v>99</v>
      </c>
      <c r="E11" s="9" t="s">
        <v>549</v>
      </c>
      <c r="F11" s="9" t="s">
        <v>98</v>
      </c>
      <c r="G11" s="9" t="s">
        <v>123</v>
      </c>
      <c r="H11" s="8">
        <v>46209</v>
      </c>
      <c r="I11" s="9">
        <v>1</v>
      </c>
      <c r="J11" s="13" t="s">
        <v>123</v>
      </c>
      <c r="K11" s="13" t="s">
        <v>124</v>
      </c>
      <c r="M11" t="s">
        <v>636</v>
      </c>
      <c r="N11">
        <v>0</v>
      </c>
      <c r="O11">
        <v>0</v>
      </c>
      <c r="P11">
        <v>0</v>
      </c>
      <c r="Q11">
        <v>0</v>
      </c>
      <c r="R11" t="s">
        <v>13</v>
      </c>
    </row>
    <row r="12" spans="1:18" ht="28" customHeight="1">
      <c r="A12" s="9" t="s">
        <v>125</v>
      </c>
      <c r="B12" s="8">
        <v>46209</v>
      </c>
      <c r="C12" s="9" t="s">
        <v>34</v>
      </c>
      <c r="D12" s="9" t="s">
        <v>99</v>
      </c>
      <c r="E12" s="9" t="s">
        <v>549</v>
      </c>
      <c r="F12" s="9" t="s">
        <v>98</v>
      </c>
      <c r="G12" s="9" t="s">
        <v>126</v>
      </c>
      <c r="H12" s="8">
        <v>46209</v>
      </c>
      <c r="I12" s="9">
        <v>1</v>
      </c>
      <c r="J12" s="13" t="s">
        <v>126</v>
      </c>
      <c r="K12" s="13" t="s">
        <v>127</v>
      </c>
      <c r="M12" t="s">
        <v>637</v>
      </c>
      <c r="N12">
        <v>0</v>
      </c>
      <c r="O12">
        <v>0</v>
      </c>
      <c r="P12">
        <v>0</v>
      </c>
      <c r="Q12">
        <v>0</v>
      </c>
      <c r="R12" t="s">
        <v>13</v>
      </c>
    </row>
    <row r="13" spans="1:18" ht="28" customHeight="1">
      <c r="A13" s="9" t="s">
        <v>128</v>
      </c>
      <c r="B13" s="8">
        <v>46209</v>
      </c>
      <c r="C13" s="9" t="s">
        <v>34</v>
      </c>
      <c r="D13" s="9" t="s">
        <v>131</v>
      </c>
      <c r="E13" s="9" t="s">
        <v>552</v>
      </c>
      <c r="F13" s="9" t="s">
        <v>109</v>
      </c>
      <c r="G13" s="9" t="s">
        <v>132</v>
      </c>
      <c r="H13" s="9"/>
      <c r="I13" s="9">
        <v>1</v>
      </c>
      <c r="J13" s="13" t="s">
        <v>132</v>
      </c>
      <c r="K13" s="13" t="s">
        <v>133</v>
      </c>
      <c r="M13" t="s">
        <v>638</v>
      </c>
      <c r="N13">
        <v>0</v>
      </c>
      <c r="O13">
        <v>0</v>
      </c>
      <c r="P13">
        <v>0</v>
      </c>
      <c r="Q13">
        <v>0</v>
      </c>
      <c r="R13" t="s">
        <v>13</v>
      </c>
    </row>
    <row r="14" spans="1:18" ht="28" customHeight="1">
      <c r="A14" s="9" t="s">
        <v>134</v>
      </c>
      <c r="B14" s="8">
        <v>46209</v>
      </c>
      <c r="C14" s="9" t="s">
        <v>135</v>
      </c>
      <c r="D14" s="9" t="s">
        <v>136</v>
      </c>
      <c r="E14" s="9" t="s">
        <v>550</v>
      </c>
      <c r="F14" s="9" t="s">
        <v>109</v>
      </c>
      <c r="G14" s="9" t="s">
        <v>137</v>
      </c>
      <c r="H14" s="9"/>
      <c r="I14" s="9">
        <v>2</v>
      </c>
      <c r="J14" s="13" t="s">
        <v>553</v>
      </c>
      <c r="K14" s="13" t="s">
        <v>138</v>
      </c>
      <c r="M14" t="s">
        <v>639</v>
      </c>
      <c r="N14">
        <v>6</v>
      </c>
      <c r="O14">
        <v>1</v>
      </c>
      <c r="P14">
        <v>5</v>
      </c>
      <c r="Q14">
        <v>0</v>
      </c>
      <c r="R14" t="s">
        <v>13</v>
      </c>
    </row>
    <row r="15" spans="1:18" ht="28" customHeight="1">
      <c r="A15" s="9" t="s">
        <v>139</v>
      </c>
      <c r="B15" s="8">
        <v>46206</v>
      </c>
      <c r="C15" s="9" t="s">
        <v>34</v>
      </c>
      <c r="D15" s="9" t="s">
        <v>99</v>
      </c>
      <c r="E15" s="9" t="s">
        <v>549</v>
      </c>
      <c r="F15" s="9" t="s">
        <v>98</v>
      </c>
      <c r="G15" s="9" t="s">
        <v>140</v>
      </c>
      <c r="H15" s="8">
        <v>46206</v>
      </c>
      <c r="I15" s="9">
        <v>1</v>
      </c>
      <c r="J15" s="13" t="s">
        <v>140</v>
      </c>
      <c r="K15" s="13" t="s">
        <v>141</v>
      </c>
    </row>
    <row r="16" spans="1:18" ht="28" customHeight="1">
      <c r="A16" s="9" t="s">
        <v>142</v>
      </c>
      <c r="B16" s="8">
        <v>46206</v>
      </c>
      <c r="C16" s="9" t="s">
        <v>34</v>
      </c>
      <c r="D16" s="9" t="s">
        <v>99</v>
      </c>
      <c r="E16" s="9" t="s">
        <v>549</v>
      </c>
      <c r="F16" s="9" t="s">
        <v>98</v>
      </c>
      <c r="G16" s="9" t="s">
        <v>143</v>
      </c>
      <c r="H16" s="8">
        <v>46206</v>
      </c>
      <c r="I16" s="9">
        <v>1</v>
      </c>
      <c r="J16" s="13" t="s">
        <v>143</v>
      </c>
      <c r="K16" s="13" t="s">
        <v>144</v>
      </c>
      <c r="M16" s="3" t="s">
        <v>640</v>
      </c>
      <c r="N16" s="3"/>
      <c r="O16" s="3"/>
      <c r="P16" s="3"/>
      <c r="Q16" s="3"/>
      <c r="R16" t="s">
        <v>13</v>
      </c>
    </row>
    <row r="17" spans="1:11" ht="28" customHeight="1">
      <c r="A17" s="9" t="s">
        <v>145</v>
      </c>
      <c r="B17" s="8">
        <v>46206</v>
      </c>
      <c r="C17" s="9" t="s">
        <v>34</v>
      </c>
      <c r="D17" s="9" t="s">
        <v>99</v>
      </c>
      <c r="E17" s="9" t="s">
        <v>549</v>
      </c>
      <c r="F17" s="9" t="s">
        <v>98</v>
      </c>
      <c r="G17" s="9" t="s">
        <v>146</v>
      </c>
      <c r="H17" s="8">
        <v>46206</v>
      </c>
      <c r="I17" s="9">
        <v>1</v>
      </c>
      <c r="J17" s="13" t="s">
        <v>146</v>
      </c>
      <c r="K17" s="13" t="s">
        <v>147</v>
      </c>
    </row>
    <row r="18" spans="1:11" ht="28" customHeight="1">
      <c r="A18" s="9" t="s">
        <v>148</v>
      </c>
      <c r="B18" s="8">
        <v>46206</v>
      </c>
      <c r="C18" s="9" t="s">
        <v>34</v>
      </c>
      <c r="D18" s="9" t="s">
        <v>149</v>
      </c>
      <c r="E18" s="9" t="s">
        <v>552</v>
      </c>
      <c r="F18" s="9" t="s">
        <v>109</v>
      </c>
      <c r="G18" s="9" t="s">
        <v>150</v>
      </c>
      <c r="H18" s="9"/>
      <c r="I18" s="9">
        <v>1</v>
      </c>
      <c r="J18" s="13" t="s">
        <v>150</v>
      </c>
      <c r="K18" s="13" t="s">
        <v>151</v>
      </c>
    </row>
    <row r="19" spans="1:11" ht="28" customHeight="1">
      <c r="A19" s="9" t="s">
        <v>148</v>
      </c>
      <c r="B19" s="8">
        <v>46206</v>
      </c>
      <c r="C19" s="9" t="s">
        <v>34</v>
      </c>
      <c r="D19" s="9" t="s">
        <v>224</v>
      </c>
      <c r="E19" s="9" t="s">
        <v>552</v>
      </c>
      <c r="F19" s="9" t="s">
        <v>109</v>
      </c>
      <c r="G19" s="9" t="s">
        <v>554</v>
      </c>
      <c r="H19" s="9"/>
      <c r="I19" s="9">
        <v>2</v>
      </c>
      <c r="J19" s="13" t="s">
        <v>555</v>
      </c>
      <c r="K19" s="13" t="s">
        <v>151</v>
      </c>
    </row>
    <row r="20" spans="1:11" ht="28" customHeight="1">
      <c r="A20" s="9" t="s">
        <v>148</v>
      </c>
      <c r="B20" s="8">
        <v>46206</v>
      </c>
      <c r="C20" s="9" t="s">
        <v>34</v>
      </c>
      <c r="D20" s="9" t="s">
        <v>556</v>
      </c>
      <c r="E20" s="9" t="s">
        <v>552</v>
      </c>
      <c r="F20" s="9" t="s">
        <v>109</v>
      </c>
      <c r="G20" s="9" t="s">
        <v>557</v>
      </c>
      <c r="H20" s="9"/>
      <c r="I20" s="9">
        <v>1</v>
      </c>
      <c r="J20" s="13" t="s">
        <v>557</v>
      </c>
      <c r="K20" s="13" t="s">
        <v>151</v>
      </c>
    </row>
    <row r="21" spans="1:11" ht="28" customHeight="1">
      <c r="A21" s="9" t="s">
        <v>148</v>
      </c>
      <c r="B21" s="8">
        <v>46206</v>
      </c>
      <c r="C21" s="9" t="s">
        <v>34</v>
      </c>
      <c r="D21" s="9" t="s">
        <v>558</v>
      </c>
      <c r="E21" s="9" t="s">
        <v>550</v>
      </c>
      <c r="F21" s="9" t="s">
        <v>109</v>
      </c>
      <c r="G21" s="9" t="s">
        <v>559</v>
      </c>
      <c r="H21" s="9"/>
      <c r="I21" s="9">
        <v>1</v>
      </c>
      <c r="J21" s="13" t="s">
        <v>559</v>
      </c>
      <c r="K21" s="13" t="s">
        <v>151</v>
      </c>
    </row>
    <row r="22" spans="1:11" ht="28" customHeight="1">
      <c r="A22" s="9" t="s">
        <v>152</v>
      </c>
      <c r="B22" s="8">
        <v>46205</v>
      </c>
      <c r="C22" s="9" t="s">
        <v>34</v>
      </c>
      <c r="D22" s="9" t="s">
        <v>99</v>
      </c>
      <c r="E22" s="9" t="s">
        <v>549</v>
      </c>
      <c r="F22" s="9" t="s">
        <v>98</v>
      </c>
      <c r="G22" s="9" t="s">
        <v>154</v>
      </c>
      <c r="H22" s="8">
        <v>46205</v>
      </c>
      <c r="I22" s="9">
        <v>1</v>
      </c>
      <c r="J22" s="13" t="s">
        <v>154</v>
      </c>
      <c r="K22" s="13" t="s">
        <v>155</v>
      </c>
    </row>
    <row r="23" spans="1:11" ht="28" customHeight="1">
      <c r="A23" s="9" t="s">
        <v>156</v>
      </c>
      <c r="B23" s="8">
        <v>46205</v>
      </c>
      <c r="C23" s="9" t="s">
        <v>34</v>
      </c>
      <c r="D23" s="9" t="s">
        <v>99</v>
      </c>
      <c r="E23" s="9" t="s">
        <v>549</v>
      </c>
      <c r="F23" s="9" t="s">
        <v>98</v>
      </c>
      <c r="G23" s="9" t="s">
        <v>158</v>
      </c>
      <c r="H23" s="8">
        <v>46205</v>
      </c>
      <c r="I23" s="9">
        <v>1</v>
      </c>
      <c r="J23" s="13" t="s">
        <v>158</v>
      </c>
      <c r="K23" s="13" t="s">
        <v>159</v>
      </c>
    </row>
    <row r="24" spans="1:11" ht="28" customHeight="1">
      <c r="A24" s="9" t="s">
        <v>160</v>
      </c>
      <c r="B24" s="8">
        <v>46205</v>
      </c>
      <c r="C24" s="9" t="s">
        <v>34</v>
      </c>
      <c r="D24" s="9" t="s">
        <v>99</v>
      </c>
      <c r="E24" s="9" t="s">
        <v>549</v>
      </c>
      <c r="F24" s="9" t="s">
        <v>98</v>
      </c>
      <c r="G24" s="9" t="s">
        <v>162</v>
      </c>
      <c r="H24" s="8">
        <v>46205</v>
      </c>
      <c r="I24" s="9">
        <v>1</v>
      </c>
      <c r="J24" s="13" t="s">
        <v>162</v>
      </c>
      <c r="K24" s="13" t="s">
        <v>163</v>
      </c>
    </row>
    <row r="25" spans="1:11" ht="28" customHeight="1">
      <c r="A25" s="9" t="s">
        <v>164</v>
      </c>
      <c r="B25" s="8">
        <v>46205</v>
      </c>
      <c r="C25" s="9" t="s">
        <v>34</v>
      </c>
      <c r="D25" s="9" t="s">
        <v>99</v>
      </c>
      <c r="E25" s="9" t="s">
        <v>549</v>
      </c>
      <c r="F25" s="9" t="s">
        <v>98</v>
      </c>
      <c r="G25" s="9" t="s">
        <v>165</v>
      </c>
      <c r="H25" s="8">
        <v>46205</v>
      </c>
      <c r="I25" s="9">
        <v>1</v>
      </c>
      <c r="J25" s="13" t="s">
        <v>165</v>
      </c>
      <c r="K25" s="13" t="s">
        <v>166</v>
      </c>
    </row>
    <row r="26" spans="1:11" ht="28" customHeight="1">
      <c r="A26" s="9" t="s">
        <v>167</v>
      </c>
      <c r="B26" s="8">
        <v>46205</v>
      </c>
      <c r="C26" s="9" t="s">
        <v>34</v>
      </c>
      <c r="D26" s="9" t="s">
        <v>99</v>
      </c>
      <c r="E26" s="9" t="s">
        <v>549</v>
      </c>
      <c r="F26" s="9" t="s">
        <v>98</v>
      </c>
      <c r="G26" s="9" t="s">
        <v>168</v>
      </c>
      <c r="H26" s="8">
        <v>46205</v>
      </c>
      <c r="I26" s="9">
        <v>1</v>
      </c>
      <c r="J26" s="13" t="s">
        <v>168</v>
      </c>
      <c r="K26" s="13" t="s">
        <v>169</v>
      </c>
    </row>
    <row r="27" spans="1:11" ht="28" customHeight="1">
      <c r="A27" s="9" t="s">
        <v>170</v>
      </c>
      <c r="B27" s="8">
        <v>46204</v>
      </c>
      <c r="C27" s="9" t="s">
        <v>171</v>
      </c>
      <c r="D27" s="9" t="s">
        <v>99</v>
      </c>
      <c r="E27" s="9" t="s">
        <v>549</v>
      </c>
      <c r="F27" s="9" t="s">
        <v>98</v>
      </c>
      <c r="G27" s="9" t="s">
        <v>173</v>
      </c>
      <c r="H27" s="8">
        <v>46204</v>
      </c>
      <c r="I27" s="9">
        <v>1</v>
      </c>
      <c r="J27" s="13" t="s">
        <v>173</v>
      </c>
      <c r="K27" s="13" t="s">
        <v>174</v>
      </c>
    </row>
    <row r="28" spans="1:11" ht="28" customHeight="1">
      <c r="A28" s="9" t="s">
        <v>175</v>
      </c>
      <c r="B28" s="8">
        <v>46204</v>
      </c>
      <c r="C28" s="9" t="s">
        <v>34</v>
      </c>
      <c r="D28" s="9" t="s">
        <v>99</v>
      </c>
      <c r="E28" s="9" t="s">
        <v>549</v>
      </c>
      <c r="F28" s="9" t="s">
        <v>98</v>
      </c>
      <c r="G28" s="9" t="s">
        <v>177</v>
      </c>
      <c r="H28" s="8">
        <v>46204</v>
      </c>
      <c r="I28" s="9">
        <v>1</v>
      </c>
      <c r="J28" s="13" t="s">
        <v>177</v>
      </c>
      <c r="K28" s="13" t="s">
        <v>159</v>
      </c>
    </row>
    <row r="29" spans="1:11" ht="28" customHeight="1">
      <c r="A29" s="9" t="s">
        <v>178</v>
      </c>
      <c r="B29" s="8">
        <v>46204</v>
      </c>
      <c r="C29" s="9" t="s">
        <v>34</v>
      </c>
      <c r="D29" s="9" t="s">
        <v>99</v>
      </c>
      <c r="E29" s="9" t="s">
        <v>549</v>
      </c>
      <c r="F29" s="9" t="s">
        <v>98</v>
      </c>
      <c r="G29" s="9" t="s">
        <v>180</v>
      </c>
      <c r="H29" s="8">
        <v>46204</v>
      </c>
      <c r="I29" s="9">
        <v>1</v>
      </c>
      <c r="J29" s="13" t="s">
        <v>180</v>
      </c>
      <c r="K29" s="13" t="s">
        <v>181</v>
      </c>
    </row>
    <row r="30" spans="1:11" ht="28" customHeight="1">
      <c r="A30" s="9" t="s">
        <v>182</v>
      </c>
      <c r="B30" s="8">
        <v>46204</v>
      </c>
      <c r="C30" s="9" t="s">
        <v>34</v>
      </c>
      <c r="D30" s="9" t="s">
        <v>99</v>
      </c>
      <c r="E30" s="9" t="s">
        <v>549</v>
      </c>
      <c r="F30" s="9" t="s">
        <v>98</v>
      </c>
      <c r="G30" s="9" t="s">
        <v>183</v>
      </c>
      <c r="H30" s="8">
        <v>46204</v>
      </c>
      <c r="I30" s="9">
        <v>1</v>
      </c>
      <c r="J30" s="13" t="s">
        <v>183</v>
      </c>
      <c r="K30" s="13" t="s">
        <v>169</v>
      </c>
    </row>
    <row r="31" spans="1:11" ht="28" customHeight="1">
      <c r="A31" s="9" t="s">
        <v>184</v>
      </c>
      <c r="B31" s="8">
        <v>46204</v>
      </c>
      <c r="C31" s="9" t="s">
        <v>34</v>
      </c>
      <c r="D31" s="9" t="s">
        <v>99</v>
      </c>
      <c r="E31" s="9" t="s">
        <v>549</v>
      </c>
      <c r="F31" s="9" t="s">
        <v>98</v>
      </c>
      <c r="G31" s="9" t="s">
        <v>187</v>
      </c>
      <c r="H31" s="8">
        <v>46204</v>
      </c>
      <c r="I31" s="9">
        <v>1</v>
      </c>
      <c r="J31" s="13" t="s">
        <v>187</v>
      </c>
      <c r="K31" s="13" t="s">
        <v>188</v>
      </c>
    </row>
    <row r="32" spans="1:11" ht="28" customHeight="1">
      <c r="A32" s="9" t="s">
        <v>189</v>
      </c>
      <c r="B32" s="8">
        <v>46204</v>
      </c>
      <c r="C32" s="9" t="s">
        <v>34</v>
      </c>
      <c r="D32" s="9" t="s">
        <v>99</v>
      </c>
      <c r="E32" s="9" t="s">
        <v>549</v>
      </c>
      <c r="F32" s="9" t="s">
        <v>98</v>
      </c>
      <c r="G32" s="9" t="s">
        <v>192</v>
      </c>
      <c r="H32" s="8">
        <v>46204</v>
      </c>
      <c r="I32" s="9">
        <v>1</v>
      </c>
      <c r="J32" s="13" t="s">
        <v>192</v>
      </c>
      <c r="K32" s="13" t="s">
        <v>193</v>
      </c>
    </row>
    <row r="33" spans="1:11" ht="28" customHeight="1">
      <c r="A33" s="9" t="s">
        <v>194</v>
      </c>
      <c r="B33" s="8">
        <v>46204</v>
      </c>
      <c r="C33" s="9" t="s">
        <v>34</v>
      </c>
      <c r="D33" s="9" t="s">
        <v>195</v>
      </c>
      <c r="E33" s="9" t="s">
        <v>552</v>
      </c>
      <c r="F33" s="9" t="s">
        <v>109</v>
      </c>
      <c r="G33" s="9" t="s">
        <v>196</v>
      </c>
      <c r="H33" s="9"/>
      <c r="I33" s="9">
        <v>1</v>
      </c>
      <c r="J33" s="13" t="s">
        <v>196</v>
      </c>
      <c r="K33" s="13" t="s">
        <v>197</v>
      </c>
    </row>
    <row r="34" spans="1:11" ht="28" customHeight="1">
      <c r="A34" s="9" t="s">
        <v>194</v>
      </c>
      <c r="B34" s="8">
        <v>46204</v>
      </c>
      <c r="C34" s="9" t="s">
        <v>34</v>
      </c>
      <c r="D34" s="9" t="s">
        <v>560</v>
      </c>
      <c r="E34" s="9" t="s">
        <v>552</v>
      </c>
      <c r="F34" s="9" t="s">
        <v>109</v>
      </c>
      <c r="G34" s="9" t="s">
        <v>561</v>
      </c>
      <c r="H34" s="9"/>
      <c r="I34" s="9">
        <v>1</v>
      </c>
      <c r="J34" s="13" t="s">
        <v>561</v>
      </c>
      <c r="K34" s="13" t="s">
        <v>197</v>
      </c>
    </row>
    <row r="35" spans="1:11" ht="28" customHeight="1">
      <c r="A35" s="9" t="s">
        <v>194</v>
      </c>
      <c r="B35" s="8">
        <v>46204</v>
      </c>
      <c r="C35" s="9" t="s">
        <v>34</v>
      </c>
      <c r="D35" s="9" t="s">
        <v>560</v>
      </c>
      <c r="E35" s="9" t="s">
        <v>550</v>
      </c>
      <c r="F35" s="9" t="s">
        <v>109</v>
      </c>
      <c r="G35" s="9" t="s">
        <v>562</v>
      </c>
      <c r="H35" s="9"/>
      <c r="I35" s="9">
        <v>1</v>
      </c>
      <c r="J35" s="13" t="s">
        <v>562</v>
      </c>
      <c r="K35" s="13" t="s">
        <v>197</v>
      </c>
    </row>
    <row r="36" spans="1:11" ht="28" customHeight="1">
      <c r="A36" s="9" t="s">
        <v>194</v>
      </c>
      <c r="B36" s="8">
        <v>46204</v>
      </c>
      <c r="C36" s="9" t="s">
        <v>34</v>
      </c>
      <c r="D36" s="9" t="s">
        <v>560</v>
      </c>
      <c r="E36" s="9" t="s">
        <v>550</v>
      </c>
      <c r="F36" s="9" t="s">
        <v>109</v>
      </c>
      <c r="G36" s="9" t="s">
        <v>563</v>
      </c>
      <c r="H36" s="9"/>
      <c r="I36" s="9">
        <v>1</v>
      </c>
      <c r="J36" s="13" t="s">
        <v>563</v>
      </c>
      <c r="K36" s="13" t="s">
        <v>197</v>
      </c>
    </row>
    <row r="37" spans="1:11" ht="28" customHeight="1">
      <c r="A37" s="9" t="s">
        <v>198</v>
      </c>
      <c r="B37" s="8">
        <v>46204</v>
      </c>
      <c r="C37" s="9" t="s">
        <v>34</v>
      </c>
      <c r="D37" s="9" t="s">
        <v>199</v>
      </c>
      <c r="E37" s="9" t="s">
        <v>564</v>
      </c>
      <c r="F37" s="9" t="s">
        <v>109</v>
      </c>
      <c r="G37" s="9" t="s">
        <v>200</v>
      </c>
      <c r="H37" s="8">
        <v>46204</v>
      </c>
      <c r="I37" s="9">
        <v>2</v>
      </c>
      <c r="J37" s="13" t="s">
        <v>565</v>
      </c>
      <c r="K37" s="13" t="s">
        <v>201</v>
      </c>
    </row>
    <row r="38" spans="1:11" ht="28" customHeight="1">
      <c r="A38" s="9" t="s">
        <v>202</v>
      </c>
      <c r="B38" s="8">
        <v>46203</v>
      </c>
      <c r="C38" s="9" t="s">
        <v>34</v>
      </c>
      <c r="D38" s="9" t="s">
        <v>99</v>
      </c>
      <c r="E38" s="9" t="s">
        <v>549</v>
      </c>
      <c r="F38" s="9" t="s">
        <v>98</v>
      </c>
      <c r="G38" s="9" t="s">
        <v>203</v>
      </c>
      <c r="H38" s="8">
        <v>46203</v>
      </c>
      <c r="I38" s="9">
        <v>1</v>
      </c>
      <c r="J38" s="13" t="s">
        <v>203</v>
      </c>
      <c r="K38" s="13" t="s">
        <v>204</v>
      </c>
    </row>
    <row r="39" spans="1:11" ht="28" customHeight="1">
      <c r="A39" s="9" t="s">
        <v>205</v>
      </c>
      <c r="B39" s="8">
        <v>46203</v>
      </c>
      <c r="C39" s="9" t="s">
        <v>34</v>
      </c>
      <c r="D39" s="9" t="s">
        <v>99</v>
      </c>
      <c r="E39" s="9" t="s">
        <v>549</v>
      </c>
      <c r="F39" s="9" t="s">
        <v>98</v>
      </c>
      <c r="G39" s="9" t="s">
        <v>208</v>
      </c>
      <c r="H39" s="8">
        <v>46203</v>
      </c>
      <c r="I39" s="9">
        <v>1</v>
      </c>
      <c r="J39" s="13" t="s">
        <v>208</v>
      </c>
      <c r="K39" s="13" t="s">
        <v>209</v>
      </c>
    </row>
    <row r="40" spans="1:11" ht="28" customHeight="1">
      <c r="A40" s="9" t="s">
        <v>210</v>
      </c>
      <c r="B40" s="8">
        <v>46203</v>
      </c>
      <c r="C40" s="9" t="s">
        <v>34</v>
      </c>
      <c r="D40" s="9" t="s">
        <v>99</v>
      </c>
      <c r="E40" s="9" t="s">
        <v>549</v>
      </c>
      <c r="F40" s="9" t="s">
        <v>98</v>
      </c>
      <c r="G40" s="9" t="s">
        <v>213</v>
      </c>
      <c r="H40" s="8">
        <v>46203</v>
      </c>
      <c r="I40" s="9">
        <v>1</v>
      </c>
      <c r="J40" s="13" t="s">
        <v>213</v>
      </c>
      <c r="K40" s="13" t="s">
        <v>214</v>
      </c>
    </row>
    <row r="41" spans="1:11" ht="28" customHeight="1">
      <c r="A41" s="9" t="s">
        <v>215</v>
      </c>
      <c r="B41" s="8">
        <v>46203</v>
      </c>
      <c r="C41" s="9" t="s">
        <v>34</v>
      </c>
      <c r="D41" s="9" t="s">
        <v>99</v>
      </c>
      <c r="E41" s="9" t="s">
        <v>549</v>
      </c>
      <c r="F41" s="9" t="s">
        <v>98</v>
      </c>
      <c r="G41" s="9" t="s">
        <v>217</v>
      </c>
      <c r="H41" s="8">
        <v>46203</v>
      </c>
      <c r="I41" s="9">
        <v>1</v>
      </c>
      <c r="J41" s="13" t="s">
        <v>217</v>
      </c>
      <c r="K41" s="13" t="s">
        <v>159</v>
      </c>
    </row>
    <row r="42" spans="1:11" ht="28" customHeight="1">
      <c r="A42" s="9" t="s">
        <v>218</v>
      </c>
      <c r="B42" s="8">
        <v>46203</v>
      </c>
      <c r="C42" s="9" t="s">
        <v>42</v>
      </c>
      <c r="D42" s="9" t="s">
        <v>219</v>
      </c>
      <c r="E42" s="9" t="s">
        <v>566</v>
      </c>
      <c r="F42" s="9" t="s">
        <v>109</v>
      </c>
      <c r="G42" s="9" t="s">
        <v>220</v>
      </c>
      <c r="H42" s="9"/>
      <c r="I42" s="9">
        <v>1</v>
      </c>
      <c r="J42" s="13" t="s">
        <v>220</v>
      </c>
      <c r="K42" s="13" t="s">
        <v>221</v>
      </c>
    </row>
    <row r="43" spans="1:11" ht="28" customHeight="1">
      <c r="A43" s="9" t="s">
        <v>222</v>
      </c>
      <c r="B43" s="8">
        <v>46203</v>
      </c>
      <c r="C43" s="9" t="s">
        <v>223</v>
      </c>
      <c r="D43" s="9" t="s">
        <v>224</v>
      </c>
      <c r="E43" s="9" t="s">
        <v>564</v>
      </c>
      <c r="F43" s="9" t="s">
        <v>109</v>
      </c>
      <c r="G43" s="9" t="s">
        <v>225</v>
      </c>
      <c r="H43" s="8">
        <v>46203</v>
      </c>
      <c r="I43" s="9">
        <v>2</v>
      </c>
      <c r="J43" s="13" t="s">
        <v>567</v>
      </c>
      <c r="K43" s="13" t="s">
        <v>226</v>
      </c>
    </row>
    <row r="44" spans="1:11" ht="28" customHeight="1">
      <c r="A44" s="9" t="s">
        <v>227</v>
      </c>
      <c r="B44" s="8">
        <v>46202</v>
      </c>
      <c r="C44" s="9" t="s">
        <v>34</v>
      </c>
      <c r="D44" s="9" t="s">
        <v>99</v>
      </c>
      <c r="E44" s="9" t="s">
        <v>549</v>
      </c>
      <c r="F44" s="9" t="s">
        <v>98</v>
      </c>
      <c r="G44" s="9" t="s">
        <v>228</v>
      </c>
      <c r="H44" s="8">
        <v>46202</v>
      </c>
      <c r="I44" s="9">
        <v>1</v>
      </c>
      <c r="J44" s="13" t="s">
        <v>228</v>
      </c>
      <c r="K44" s="13" t="s">
        <v>159</v>
      </c>
    </row>
    <row r="45" spans="1:11" ht="28" customHeight="1">
      <c r="A45" s="9" t="s">
        <v>229</v>
      </c>
      <c r="B45" s="8">
        <v>46202</v>
      </c>
      <c r="C45" s="9" t="s">
        <v>34</v>
      </c>
      <c r="D45" s="9" t="s">
        <v>99</v>
      </c>
      <c r="E45" s="9" t="s">
        <v>549</v>
      </c>
      <c r="F45" s="9" t="s">
        <v>98</v>
      </c>
      <c r="G45" s="9" t="s">
        <v>231</v>
      </c>
      <c r="H45" s="8">
        <v>46202</v>
      </c>
      <c r="I45" s="9">
        <v>1</v>
      </c>
      <c r="J45" s="13" t="s">
        <v>231</v>
      </c>
      <c r="K45" s="13" t="s">
        <v>181</v>
      </c>
    </row>
    <row r="46" spans="1:11" ht="28" customHeight="1">
      <c r="A46" s="9" t="s">
        <v>232</v>
      </c>
      <c r="B46" s="8">
        <v>46202</v>
      </c>
      <c r="C46" s="9" t="s">
        <v>34</v>
      </c>
      <c r="D46" s="9" t="s">
        <v>99</v>
      </c>
      <c r="E46" s="9" t="s">
        <v>549</v>
      </c>
      <c r="F46" s="9" t="s">
        <v>98</v>
      </c>
      <c r="G46" s="9" t="s">
        <v>234</v>
      </c>
      <c r="H46" s="8">
        <v>46202</v>
      </c>
      <c r="I46" s="9">
        <v>1</v>
      </c>
      <c r="J46" s="13" t="s">
        <v>234</v>
      </c>
      <c r="K46" s="13" t="s">
        <v>188</v>
      </c>
    </row>
    <row r="47" spans="1:11" ht="28" customHeight="1">
      <c r="A47" s="9" t="s">
        <v>235</v>
      </c>
      <c r="B47" s="8">
        <v>46202</v>
      </c>
      <c r="C47" s="9" t="s">
        <v>236</v>
      </c>
      <c r="D47" s="9" t="s">
        <v>99</v>
      </c>
      <c r="E47" s="9" t="s">
        <v>549</v>
      </c>
      <c r="F47" s="9" t="s">
        <v>98</v>
      </c>
      <c r="G47" s="9" t="s">
        <v>239</v>
      </c>
      <c r="H47" s="8">
        <v>46202</v>
      </c>
      <c r="I47" s="9">
        <v>1</v>
      </c>
      <c r="J47" s="13" t="s">
        <v>239</v>
      </c>
      <c r="K47" s="13" t="s">
        <v>240</v>
      </c>
    </row>
    <row r="48" spans="1:11" ht="28" customHeight="1">
      <c r="A48" s="9" t="s">
        <v>241</v>
      </c>
      <c r="B48" s="8">
        <v>46202</v>
      </c>
      <c r="C48" s="9" t="s">
        <v>242</v>
      </c>
      <c r="D48" s="9" t="s">
        <v>99</v>
      </c>
      <c r="E48" s="9" t="s">
        <v>549</v>
      </c>
      <c r="F48" s="9" t="s">
        <v>98</v>
      </c>
      <c r="G48" s="9" t="s">
        <v>244</v>
      </c>
      <c r="H48" s="8">
        <v>46202</v>
      </c>
      <c r="I48" s="9">
        <v>1</v>
      </c>
      <c r="J48" s="13" t="s">
        <v>244</v>
      </c>
      <c r="K48" s="13" t="s">
        <v>245</v>
      </c>
    </row>
    <row r="49" spans="1:11" ht="28" customHeight="1">
      <c r="A49" s="9" t="s">
        <v>246</v>
      </c>
      <c r="B49" s="8">
        <v>46202</v>
      </c>
      <c r="C49" s="9" t="s">
        <v>247</v>
      </c>
      <c r="D49" s="9" t="s">
        <v>248</v>
      </c>
      <c r="E49" s="9" t="s">
        <v>564</v>
      </c>
      <c r="F49" s="9" t="s">
        <v>109</v>
      </c>
      <c r="G49" s="9" t="s">
        <v>249</v>
      </c>
      <c r="H49" s="8">
        <v>46202</v>
      </c>
      <c r="I49" s="9">
        <v>2</v>
      </c>
      <c r="J49" s="13" t="s">
        <v>568</v>
      </c>
      <c r="K49" s="13" t="s">
        <v>250</v>
      </c>
    </row>
    <row r="50" spans="1:11" ht="28" customHeight="1">
      <c r="A50" s="9" t="s">
        <v>251</v>
      </c>
      <c r="B50" s="8">
        <v>46202</v>
      </c>
      <c r="C50" s="9" t="s">
        <v>252</v>
      </c>
      <c r="D50" s="9" t="s">
        <v>199</v>
      </c>
      <c r="E50" s="9" t="s">
        <v>564</v>
      </c>
      <c r="F50" s="9" t="s">
        <v>109</v>
      </c>
      <c r="G50" s="9" t="s">
        <v>254</v>
      </c>
      <c r="H50" s="8">
        <v>46202</v>
      </c>
      <c r="I50" s="9">
        <v>2</v>
      </c>
      <c r="J50" s="13" t="s">
        <v>569</v>
      </c>
      <c r="K50" s="13" t="s">
        <v>255</v>
      </c>
    </row>
    <row r="51" spans="1:11" ht="28" customHeight="1">
      <c r="A51" s="9" t="s">
        <v>256</v>
      </c>
      <c r="B51" s="8">
        <v>46201</v>
      </c>
      <c r="C51" s="9" t="s">
        <v>38</v>
      </c>
      <c r="D51" s="9" t="s">
        <v>257</v>
      </c>
      <c r="E51" s="9" t="s">
        <v>564</v>
      </c>
      <c r="F51" s="9" t="s">
        <v>98</v>
      </c>
      <c r="G51" s="9" t="s">
        <v>258</v>
      </c>
      <c r="H51" s="8">
        <v>46201</v>
      </c>
      <c r="I51" s="9">
        <v>1</v>
      </c>
      <c r="J51" s="13" t="s">
        <v>258</v>
      </c>
      <c r="K51" s="13" t="s">
        <v>40</v>
      </c>
    </row>
    <row r="52" spans="1:11" ht="28" customHeight="1">
      <c r="A52" s="9" t="s">
        <v>259</v>
      </c>
      <c r="B52" s="8">
        <v>46201</v>
      </c>
      <c r="C52" s="9" t="s">
        <v>135</v>
      </c>
      <c r="D52" s="9" t="s">
        <v>248</v>
      </c>
      <c r="E52" s="9" t="s">
        <v>564</v>
      </c>
      <c r="F52" s="9" t="s">
        <v>109</v>
      </c>
      <c r="G52" s="9" t="s">
        <v>260</v>
      </c>
      <c r="H52" s="8">
        <v>46201</v>
      </c>
      <c r="I52" s="9">
        <v>2</v>
      </c>
      <c r="J52" s="13" t="s">
        <v>570</v>
      </c>
      <c r="K52" s="13" t="s">
        <v>261</v>
      </c>
    </row>
    <row r="53" spans="1:11" ht="28" customHeight="1">
      <c r="A53" s="9" t="s">
        <v>262</v>
      </c>
      <c r="B53" s="8">
        <v>46200</v>
      </c>
      <c r="C53" s="9" t="s">
        <v>34</v>
      </c>
      <c r="D53" s="9" t="s">
        <v>264</v>
      </c>
      <c r="E53" s="9" t="s">
        <v>564</v>
      </c>
      <c r="F53" s="9" t="s">
        <v>109</v>
      </c>
      <c r="G53" s="9" t="s">
        <v>265</v>
      </c>
      <c r="H53" s="8">
        <v>46200</v>
      </c>
      <c r="I53" s="9">
        <v>1</v>
      </c>
      <c r="J53" s="13" t="s">
        <v>265</v>
      </c>
      <c r="K53" s="13" t="s">
        <v>266</v>
      </c>
    </row>
    <row r="54" spans="1:11" ht="28" customHeight="1">
      <c r="A54" s="9" t="s">
        <v>267</v>
      </c>
      <c r="B54" s="8">
        <v>46199</v>
      </c>
      <c r="C54" s="9" t="s">
        <v>34</v>
      </c>
      <c r="D54" s="9" t="s">
        <v>99</v>
      </c>
      <c r="E54" s="9" t="s">
        <v>564</v>
      </c>
      <c r="F54" s="9" t="s">
        <v>98</v>
      </c>
      <c r="G54" s="9" t="s">
        <v>268</v>
      </c>
      <c r="H54" s="8">
        <v>46199</v>
      </c>
      <c r="I54" s="9">
        <v>1</v>
      </c>
      <c r="J54" s="13" t="s">
        <v>268</v>
      </c>
      <c r="K54" s="13" t="s">
        <v>269</v>
      </c>
    </row>
    <row r="55" spans="1:11" ht="28" customHeight="1">
      <c r="A55" s="9" t="s">
        <v>270</v>
      </c>
      <c r="B55" s="8">
        <v>46199</v>
      </c>
      <c r="C55" s="9" t="s">
        <v>34</v>
      </c>
      <c r="D55" s="9" t="s">
        <v>99</v>
      </c>
      <c r="E55" s="9" t="s">
        <v>549</v>
      </c>
      <c r="F55" s="9" t="s">
        <v>98</v>
      </c>
      <c r="G55" s="9" t="s">
        <v>271</v>
      </c>
      <c r="H55" s="8">
        <v>46199</v>
      </c>
      <c r="I55" s="9">
        <v>1</v>
      </c>
      <c r="J55" s="13" t="s">
        <v>271</v>
      </c>
      <c r="K55" s="13" t="s">
        <v>181</v>
      </c>
    </row>
    <row r="56" spans="1:11" ht="28" customHeight="1">
      <c r="A56" s="9" t="s">
        <v>272</v>
      </c>
      <c r="B56" s="8">
        <v>46199</v>
      </c>
      <c r="C56" s="9" t="s">
        <v>34</v>
      </c>
      <c r="D56" s="9" t="s">
        <v>99</v>
      </c>
      <c r="E56" s="9" t="s">
        <v>564</v>
      </c>
      <c r="F56" s="9" t="s">
        <v>98</v>
      </c>
      <c r="G56" s="9" t="s">
        <v>273</v>
      </c>
      <c r="H56" s="8">
        <v>46199</v>
      </c>
      <c r="I56" s="9">
        <v>1</v>
      </c>
      <c r="J56" s="13" t="s">
        <v>273</v>
      </c>
      <c r="K56" s="13" t="s">
        <v>169</v>
      </c>
    </row>
    <row r="57" spans="1:11" ht="28" customHeight="1">
      <c r="A57" s="9" t="s">
        <v>274</v>
      </c>
      <c r="B57" s="8">
        <v>46199</v>
      </c>
      <c r="C57" s="9" t="s">
        <v>34</v>
      </c>
      <c r="D57" s="9" t="s">
        <v>99</v>
      </c>
      <c r="E57" s="9" t="s">
        <v>564</v>
      </c>
      <c r="F57" s="9" t="s">
        <v>98</v>
      </c>
      <c r="G57" s="9" t="s">
        <v>275</v>
      </c>
      <c r="H57" s="8">
        <v>46199</v>
      </c>
      <c r="I57" s="9">
        <v>1</v>
      </c>
      <c r="J57" s="13" t="s">
        <v>275</v>
      </c>
      <c r="K57" s="13" t="s">
        <v>276</v>
      </c>
    </row>
    <row r="58" spans="1:11" ht="28" customHeight="1">
      <c r="A58" s="9" t="s">
        <v>277</v>
      </c>
      <c r="B58" s="8">
        <v>46199</v>
      </c>
      <c r="C58" s="9" t="s">
        <v>34</v>
      </c>
      <c r="D58" s="9" t="s">
        <v>99</v>
      </c>
      <c r="E58" s="9" t="s">
        <v>564</v>
      </c>
      <c r="F58" s="9" t="s">
        <v>98</v>
      </c>
      <c r="G58" s="9" t="s">
        <v>278</v>
      </c>
      <c r="H58" s="8">
        <v>46199</v>
      </c>
      <c r="I58" s="9">
        <v>1</v>
      </c>
      <c r="J58" s="13" t="s">
        <v>278</v>
      </c>
      <c r="K58" s="13" t="s">
        <v>279</v>
      </c>
    </row>
    <row r="59" spans="1:11" ht="28" customHeight="1">
      <c r="A59" s="9" t="s">
        <v>280</v>
      </c>
      <c r="B59" s="8">
        <v>46199</v>
      </c>
      <c r="C59" s="9" t="s">
        <v>34</v>
      </c>
      <c r="D59" s="9" t="s">
        <v>99</v>
      </c>
      <c r="E59" s="9" t="s">
        <v>564</v>
      </c>
      <c r="F59" s="9" t="s">
        <v>98</v>
      </c>
      <c r="G59" s="9" t="s">
        <v>281</v>
      </c>
      <c r="H59" s="8">
        <v>46199</v>
      </c>
      <c r="I59" s="9">
        <v>1</v>
      </c>
      <c r="J59" s="13" t="s">
        <v>281</v>
      </c>
      <c r="K59" s="13" t="s">
        <v>282</v>
      </c>
    </row>
    <row r="60" spans="1:11" ht="28" customHeight="1">
      <c r="A60" s="9" t="s">
        <v>283</v>
      </c>
      <c r="B60" s="8">
        <v>46199</v>
      </c>
      <c r="C60" s="9" t="s">
        <v>34</v>
      </c>
      <c r="D60" s="9" t="s">
        <v>99</v>
      </c>
      <c r="E60" s="9" t="s">
        <v>564</v>
      </c>
      <c r="F60" s="9" t="s">
        <v>98</v>
      </c>
      <c r="G60" s="9" t="s">
        <v>284</v>
      </c>
      <c r="H60" s="8">
        <v>46199</v>
      </c>
      <c r="I60" s="9">
        <v>1</v>
      </c>
      <c r="J60" s="13" t="s">
        <v>284</v>
      </c>
      <c r="K60" s="13" t="s">
        <v>285</v>
      </c>
    </row>
    <row r="61" spans="1:11" ht="28" customHeight="1">
      <c r="A61" s="9" t="s">
        <v>286</v>
      </c>
      <c r="B61" s="8">
        <v>46197</v>
      </c>
      <c r="C61" s="9" t="s">
        <v>287</v>
      </c>
      <c r="D61" s="9" t="s">
        <v>289</v>
      </c>
      <c r="E61" s="9" t="s">
        <v>564</v>
      </c>
      <c r="F61" s="9" t="s">
        <v>109</v>
      </c>
      <c r="G61" s="9" t="s">
        <v>290</v>
      </c>
      <c r="H61" s="8">
        <v>46197</v>
      </c>
      <c r="I61" s="9">
        <v>1</v>
      </c>
      <c r="J61" s="13" t="s">
        <v>290</v>
      </c>
      <c r="K61" s="13" t="s">
        <v>291</v>
      </c>
    </row>
    <row r="62" spans="1:11" ht="28" customHeight="1">
      <c r="A62" s="9" t="s">
        <v>292</v>
      </c>
      <c r="B62" s="8">
        <v>46192</v>
      </c>
      <c r="C62" s="9" t="s">
        <v>42</v>
      </c>
      <c r="D62" s="9" t="s">
        <v>294</v>
      </c>
      <c r="E62" s="9" t="s">
        <v>564</v>
      </c>
      <c r="F62" s="9" t="s">
        <v>98</v>
      </c>
      <c r="G62" s="9" t="s">
        <v>295</v>
      </c>
      <c r="H62" s="8">
        <v>46192</v>
      </c>
      <c r="I62" s="9">
        <v>1</v>
      </c>
      <c r="J62" s="13" t="s">
        <v>295</v>
      </c>
      <c r="K62" s="13" t="s">
        <v>43</v>
      </c>
    </row>
    <row r="63" spans="1:11" ht="28" customHeight="1">
      <c r="A63" s="9" t="s">
        <v>292</v>
      </c>
      <c r="B63" s="8">
        <v>46192</v>
      </c>
      <c r="C63" s="9" t="s">
        <v>42</v>
      </c>
      <c r="D63" s="9" t="s">
        <v>199</v>
      </c>
      <c r="E63" s="9" t="s">
        <v>564</v>
      </c>
      <c r="F63" s="9" t="s">
        <v>109</v>
      </c>
      <c r="G63" s="9" t="s">
        <v>571</v>
      </c>
      <c r="H63" s="8">
        <v>46181</v>
      </c>
      <c r="I63" s="9">
        <v>2</v>
      </c>
      <c r="J63" s="13" t="s">
        <v>572</v>
      </c>
      <c r="K63" s="13" t="s">
        <v>43</v>
      </c>
    </row>
    <row r="64" spans="1:11" ht="28" customHeight="1">
      <c r="A64" s="9" t="s">
        <v>292</v>
      </c>
      <c r="B64" s="8">
        <v>46192</v>
      </c>
      <c r="C64" s="9" t="s">
        <v>42</v>
      </c>
      <c r="D64" s="9" t="s">
        <v>560</v>
      </c>
      <c r="E64" s="9" t="s">
        <v>564</v>
      </c>
      <c r="F64" s="9" t="s">
        <v>109</v>
      </c>
      <c r="G64" s="9" t="s">
        <v>573</v>
      </c>
      <c r="H64" s="8">
        <v>46177</v>
      </c>
      <c r="I64" s="9">
        <v>2</v>
      </c>
      <c r="J64" s="13" t="s">
        <v>574</v>
      </c>
      <c r="K64" s="13" t="s">
        <v>43</v>
      </c>
    </row>
    <row r="65" spans="1:11" ht="28" customHeight="1">
      <c r="A65" s="9" t="s">
        <v>296</v>
      </c>
      <c r="B65" s="8">
        <v>46183</v>
      </c>
      <c r="C65" s="9" t="s">
        <v>297</v>
      </c>
      <c r="D65" s="9" t="s">
        <v>299</v>
      </c>
      <c r="E65" s="9" t="s">
        <v>564</v>
      </c>
      <c r="F65" s="9" t="s">
        <v>109</v>
      </c>
      <c r="G65" s="9" t="s">
        <v>300</v>
      </c>
      <c r="H65" s="8">
        <v>46183</v>
      </c>
      <c r="I65" s="9">
        <v>1</v>
      </c>
      <c r="J65" s="13" t="s">
        <v>300</v>
      </c>
      <c r="K65" s="13" t="s">
        <v>301</v>
      </c>
    </row>
    <row r="66" spans="1:11" ht="28" customHeight="1">
      <c r="A66" s="9" t="s">
        <v>302</v>
      </c>
      <c r="B66" s="8">
        <v>46177</v>
      </c>
      <c r="C66" s="9" t="s">
        <v>305</v>
      </c>
      <c r="D66" s="9" t="s">
        <v>224</v>
      </c>
      <c r="E66" s="9" t="s">
        <v>564</v>
      </c>
      <c r="F66" s="9" t="s">
        <v>109</v>
      </c>
      <c r="G66" s="9" t="s">
        <v>307</v>
      </c>
      <c r="H66" s="8">
        <v>46177</v>
      </c>
      <c r="I66" s="9">
        <v>2</v>
      </c>
      <c r="J66" s="13" t="s">
        <v>575</v>
      </c>
      <c r="K66" s="13" t="s">
        <v>308</v>
      </c>
    </row>
    <row r="67" spans="1:11" ht="28" customHeight="1">
      <c r="A67" s="9" t="s">
        <v>302</v>
      </c>
      <c r="B67" s="8">
        <v>46177</v>
      </c>
      <c r="C67" s="9" t="s">
        <v>305</v>
      </c>
      <c r="D67" s="9" t="s">
        <v>576</v>
      </c>
      <c r="E67" s="9" t="s">
        <v>564</v>
      </c>
      <c r="F67" s="9" t="s">
        <v>109</v>
      </c>
      <c r="G67" s="9" t="s">
        <v>577</v>
      </c>
      <c r="H67" s="8">
        <v>46171</v>
      </c>
      <c r="I67" s="9">
        <v>2</v>
      </c>
      <c r="J67" s="13" t="s">
        <v>578</v>
      </c>
      <c r="K67" s="13" t="s">
        <v>308</v>
      </c>
    </row>
    <row r="68" spans="1:11" ht="28" customHeight="1">
      <c r="A68" s="9" t="s">
        <v>302</v>
      </c>
      <c r="B68" s="8">
        <v>46177</v>
      </c>
      <c r="C68" s="9" t="s">
        <v>305</v>
      </c>
      <c r="D68" s="9" t="s">
        <v>579</v>
      </c>
      <c r="E68" s="9" t="s">
        <v>564</v>
      </c>
      <c r="F68" s="9" t="s">
        <v>109</v>
      </c>
      <c r="G68" s="9" t="s">
        <v>580</v>
      </c>
      <c r="H68" s="8">
        <v>46170</v>
      </c>
      <c r="I68" s="9">
        <v>2</v>
      </c>
      <c r="J68" s="13" t="s">
        <v>581</v>
      </c>
      <c r="K68" s="13" t="s">
        <v>308</v>
      </c>
    </row>
    <row r="69" spans="1:11" ht="28" customHeight="1">
      <c r="A69" s="9" t="s">
        <v>302</v>
      </c>
      <c r="B69" s="8">
        <v>46177</v>
      </c>
      <c r="C69" s="9" t="s">
        <v>305</v>
      </c>
      <c r="D69" s="9" t="s">
        <v>149</v>
      </c>
      <c r="E69" s="9" t="s">
        <v>564</v>
      </c>
      <c r="F69" s="9" t="s">
        <v>109</v>
      </c>
      <c r="G69" s="9" t="s">
        <v>582</v>
      </c>
      <c r="H69" s="8">
        <v>46170</v>
      </c>
      <c r="I69" s="9">
        <v>1</v>
      </c>
      <c r="J69" s="13" t="s">
        <v>582</v>
      </c>
      <c r="K69" s="13" t="s">
        <v>308</v>
      </c>
    </row>
    <row r="70" spans="1:11" ht="28" customHeight="1">
      <c r="A70" s="9" t="s">
        <v>302</v>
      </c>
      <c r="B70" s="8">
        <v>46177</v>
      </c>
      <c r="C70" s="9" t="s">
        <v>305</v>
      </c>
      <c r="D70" s="9" t="s">
        <v>149</v>
      </c>
      <c r="E70" s="9" t="s">
        <v>564</v>
      </c>
      <c r="F70" s="9" t="s">
        <v>109</v>
      </c>
      <c r="G70" s="9" t="s">
        <v>583</v>
      </c>
      <c r="H70" s="8">
        <v>46170</v>
      </c>
      <c r="I70" s="9">
        <v>1</v>
      </c>
      <c r="J70" s="13" t="s">
        <v>583</v>
      </c>
      <c r="K70" s="13" t="s">
        <v>308</v>
      </c>
    </row>
    <row r="71" spans="1:11" ht="28" customHeight="1">
      <c r="A71" s="9" t="s">
        <v>302</v>
      </c>
      <c r="B71" s="8">
        <v>46177</v>
      </c>
      <c r="C71" s="9" t="s">
        <v>305</v>
      </c>
      <c r="D71" s="9" t="s">
        <v>199</v>
      </c>
      <c r="E71" s="9" t="s">
        <v>564</v>
      </c>
      <c r="F71" s="9" t="s">
        <v>109</v>
      </c>
      <c r="G71" s="9" t="s">
        <v>584</v>
      </c>
      <c r="H71" s="8">
        <v>46170</v>
      </c>
      <c r="I71" s="9">
        <v>2</v>
      </c>
      <c r="J71" s="13" t="s">
        <v>585</v>
      </c>
      <c r="K71" s="13" t="s">
        <v>308</v>
      </c>
    </row>
    <row r="72" spans="1:11" ht="28" customHeight="1">
      <c r="A72" s="9" t="s">
        <v>302</v>
      </c>
      <c r="B72" s="8">
        <v>46177</v>
      </c>
      <c r="C72" s="9" t="s">
        <v>305</v>
      </c>
      <c r="D72" s="9" t="s">
        <v>299</v>
      </c>
      <c r="E72" s="9" t="s">
        <v>564</v>
      </c>
      <c r="F72" s="9" t="s">
        <v>109</v>
      </c>
      <c r="G72" s="9" t="s">
        <v>586</v>
      </c>
      <c r="H72" s="8">
        <v>46170</v>
      </c>
      <c r="I72" s="9">
        <v>1</v>
      </c>
      <c r="J72" s="13" t="s">
        <v>586</v>
      </c>
      <c r="K72" s="13" t="s">
        <v>308</v>
      </c>
    </row>
    <row r="73" spans="1:11" ht="28" customHeight="1">
      <c r="A73" s="9" t="s">
        <v>302</v>
      </c>
      <c r="B73" s="8">
        <v>46177</v>
      </c>
      <c r="C73" s="9" t="s">
        <v>305</v>
      </c>
      <c r="D73" s="9" t="s">
        <v>149</v>
      </c>
      <c r="E73" s="9" t="s">
        <v>550</v>
      </c>
      <c r="F73" s="9" t="s">
        <v>109</v>
      </c>
      <c r="G73" s="9" t="s">
        <v>587</v>
      </c>
      <c r="H73" s="9"/>
      <c r="I73" s="9">
        <v>1</v>
      </c>
      <c r="J73" s="13" t="s">
        <v>587</v>
      </c>
      <c r="K73" s="13" t="s">
        <v>308</v>
      </c>
    </row>
    <row r="74" spans="1:11" ht="28" customHeight="1">
      <c r="A74" s="9" t="s">
        <v>302</v>
      </c>
      <c r="B74" s="8">
        <v>46177</v>
      </c>
      <c r="C74" s="9" t="s">
        <v>305</v>
      </c>
      <c r="D74" s="9" t="s">
        <v>149</v>
      </c>
      <c r="E74" s="9" t="s">
        <v>550</v>
      </c>
      <c r="F74" s="9" t="s">
        <v>109</v>
      </c>
      <c r="G74" s="9" t="s">
        <v>588</v>
      </c>
      <c r="H74" s="9"/>
      <c r="I74" s="9">
        <v>1</v>
      </c>
      <c r="J74" s="13" t="s">
        <v>588</v>
      </c>
      <c r="K74" s="13" t="s">
        <v>308</v>
      </c>
    </row>
    <row r="75" spans="1:11" ht="28" customHeight="1">
      <c r="A75" s="9" t="s">
        <v>309</v>
      </c>
      <c r="B75" s="8">
        <v>46175</v>
      </c>
      <c r="C75" s="9" t="s">
        <v>45</v>
      </c>
      <c r="D75" s="9" t="s">
        <v>294</v>
      </c>
      <c r="E75" s="9" t="s">
        <v>564</v>
      </c>
      <c r="F75" s="9" t="s">
        <v>98</v>
      </c>
      <c r="G75" s="9" t="s">
        <v>310</v>
      </c>
      <c r="H75" s="8">
        <v>46175</v>
      </c>
      <c r="I75" s="9">
        <v>1</v>
      </c>
      <c r="J75" s="13" t="s">
        <v>310</v>
      </c>
      <c r="K75" s="13" t="s">
        <v>47</v>
      </c>
    </row>
    <row r="76" spans="1:11" ht="28" customHeight="1">
      <c r="A76" s="9" t="s">
        <v>309</v>
      </c>
      <c r="B76" s="8">
        <v>46175</v>
      </c>
      <c r="C76" s="9" t="s">
        <v>45</v>
      </c>
      <c r="D76" s="9" t="s">
        <v>224</v>
      </c>
      <c r="E76" s="9" t="s">
        <v>564</v>
      </c>
      <c r="F76" s="9" t="s">
        <v>109</v>
      </c>
      <c r="G76" s="9" t="s">
        <v>589</v>
      </c>
      <c r="H76" s="8">
        <v>46176</v>
      </c>
      <c r="I76" s="9">
        <v>2</v>
      </c>
      <c r="J76" s="13" t="s">
        <v>590</v>
      </c>
      <c r="K76" s="13" t="s">
        <v>47</v>
      </c>
    </row>
    <row r="77" spans="1:11" ht="28" customHeight="1">
      <c r="A77" s="9" t="s">
        <v>309</v>
      </c>
      <c r="B77" s="8">
        <v>46175</v>
      </c>
      <c r="C77" s="9" t="s">
        <v>45</v>
      </c>
      <c r="D77" s="9" t="s">
        <v>199</v>
      </c>
      <c r="E77" s="9" t="s">
        <v>564</v>
      </c>
      <c r="F77" s="9" t="s">
        <v>109</v>
      </c>
      <c r="G77" s="9" t="s">
        <v>591</v>
      </c>
      <c r="H77" s="8">
        <v>46175</v>
      </c>
      <c r="I77" s="9">
        <v>2</v>
      </c>
      <c r="J77" s="13" t="s">
        <v>592</v>
      </c>
      <c r="K77" s="13" t="s">
        <v>47</v>
      </c>
    </row>
    <row r="78" spans="1:11" ht="28" customHeight="1">
      <c r="A78" s="9" t="s">
        <v>311</v>
      </c>
      <c r="B78" s="8">
        <v>46170</v>
      </c>
      <c r="C78" s="9" t="s">
        <v>313</v>
      </c>
      <c r="D78" s="9" t="s">
        <v>199</v>
      </c>
      <c r="E78" s="9" t="s">
        <v>564</v>
      </c>
      <c r="F78" s="9" t="s">
        <v>109</v>
      </c>
      <c r="G78" s="9" t="s">
        <v>314</v>
      </c>
      <c r="H78" s="8">
        <v>46170</v>
      </c>
      <c r="I78" s="9">
        <v>2</v>
      </c>
      <c r="J78" s="13" t="s">
        <v>593</v>
      </c>
      <c r="K78" s="13" t="s">
        <v>315</v>
      </c>
    </row>
    <row r="79" spans="1:11" ht="28" customHeight="1">
      <c r="A79" s="9" t="s">
        <v>316</v>
      </c>
      <c r="B79" s="8">
        <v>46167</v>
      </c>
      <c r="C79" s="9" t="s">
        <v>34</v>
      </c>
      <c r="D79" s="9" t="s">
        <v>199</v>
      </c>
      <c r="E79" s="9" t="s">
        <v>564</v>
      </c>
      <c r="F79" s="9" t="s">
        <v>109</v>
      </c>
      <c r="G79" s="9" t="s">
        <v>317</v>
      </c>
      <c r="H79" s="8">
        <v>46167</v>
      </c>
      <c r="I79" s="9">
        <v>2</v>
      </c>
      <c r="J79" s="13" t="s">
        <v>594</v>
      </c>
      <c r="K79" s="13" t="s">
        <v>318</v>
      </c>
    </row>
    <row r="80" spans="1:11" ht="28" customHeight="1">
      <c r="A80" s="9" t="s">
        <v>319</v>
      </c>
      <c r="B80" s="8">
        <v>46162</v>
      </c>
      <c r="C80" s="9" t="s">
        <v>305</v>
      </c>
      <c r="D80" s="9" t="s">
        <v>224</v>
      </c>
      <c r="E80" s="9" t="s">
        <v>564</v>
      </c>
      <c r="F80" s="9" t="s">
        <v>109</v>
      </c>
      <c r="G80" s="9" t="s">
        <v>321</v>
      </c>
      <c r="H80" s="8">
        <v>46162</v>
      </c>
      <c r="I80" s="9">
        <v>2</v>
      </c>
      <c r="J80" s="13" t="s">
        <v>595</v>
      </c>
      <c r="K80" s="13" t="s">
        <v>322</v>
      </c>
    </row>
    <row r="81" spans="1:11" ht="28" customHeight="1">
      <c r="A81" s="9" t="s">
        <v>323</v>
      </c>
      <c r="B81" s="8">
        <v>46157</v>
      </c>
      <c r="C81" s="9" t="s">
        <v>305</v>
      </c>
      <c r="D81" s="9" t="s">
        <v>199</v>
      </c>
      <c r="E81" s="9" t="s">
        <v>564</v>
      </c>
      <c r="F81" s="9" t="s">
        <v>109</v>
      </c>
      <c r="G81" s="9" t="s">
        <v>324</v>
      </c>
      <c r="H81" s="8">
        <v>46157</v>
      </c>
      <c r="I81" s="9">
        <v>2</v>
      </c>
      <c r="J81" s="13" t="s">
        <v>596</v>
      </c>
      <c r="K81" s="13" t="s">
        <v>325</v>
      </c>
    </row>
    <row r="82" spans="1:11" ht="28" customHeight="1">
      <c r="A82" s="9" t="s">
        <v>326</v>
      </c>
      <c r="B82" s="8">
        <v>46157</v>
      </c>
      <c r="C82" s="9" t="s">
        <v>34</v>
      </c>
      <c r="D82" s="9" t="s">
        <v>299</v>
      </c>
      <c r="E82" s="9" t="s">
        <v>564</v>
      </c>
      <c r="F82" s="9" t="s">
        <v>109</v>
      </c>
      <c r="G82" s="9" t="s">
        <v>327</v>
      </c>
      <c r="H82" s="8">
        <v>46157</v>
      </c>
      <c r="I82" s="9">
        <v>1</v>
      </c>
      <c r="J82" s="13" t="s">
        <v>327</v>
      </c>
      <c r="K82" s="13" t="s">
        <v>328</v>
      </c>
    </row>
    <row r="83" spans="1:11" ht="28" customHeight="1">
      <c r="A83" s="9" t="s">
        <v>329</v>
      </c>
      <c r="B83" s="8">
        <v>46150</v>
      </c>
      <c r="C83" s="9" t="s">
        <v>330</v>
      </c>
      <c r="D83" s="9" t="s">
        <v>299</v>
      </c>
      <c r="E83" s="9" t="s">
        <v>564</v>
      </c>
      <c r="F83" s="9" t="s">
        <v>109</v>
      </c>
      <c r="G83" s="9" t="s">
        <v>331</v>
      </c>
      <c r="H83" s="8">
        <v>46150</v>
      </c>
      <c r="I83" s="9">
        <v>1</v>
      </c>
      <c r="J83" s="13" t="s">
        <v>331</v>
      </c>
      <c r="K83" s="13" t="s">
        <v>332</v>
      </c>
    </row>
    <row r="84" spans="1:11" ht="28" customHeight="1">
      <c r="A84" s="9" t="s">
        <v>333</v>
      </c>
      <c r="B84" s="8">
        <v>46147</v>
      </c>
      <c r="C84" s="9" t="s">
        <v>42</v>
      </c>
      <c r="D84" s="9" t="s">
        <v>224</v>
      </c>
      <c r="E84" s="9" t="s">
        <v>564</v>
      </c>
      <c r="F84" s="9" t="s">
        <v>109</v>
      </c>
      <c r="G84" s="9" t="s">
        <v>334</v>
      </c>
      <c r="H84" s="8">
        <v>46147</v>
      </c>
      <c r="I84" s="9">
        <v>2</v>
      </c>
      <c r="J84" s="13" t="s">
        <v>597</v>
      </c>
      <c r="K84" s="13" t="s">
        <v>335</v>
      </c>
    </row>
    <row r="85" spans="1:11" ht="28" customHeight="1">
      <c r="A85" s="9" t="s">
        <v>336</v>
      </c>
      <c r="B85" s="8">
        <v>46146</v>
      </c>
      <c r="C85" s="9" t="s">
        <v>42</v>
      </c>
      <c r="D85" s="9" t="s">
        <v>338</v>
      </c>
      <c r="E85" s="9" t="s">
        <v>564</v>
      </c>
      <c r="F85" s="9" t="s">
        <v>109</v>
      </c>
      <c r="G85" s="9" t="s">
        <v>339</v>
      </c>
      <c r="H85" s="8">
        <v>46146</v>
      </c>
      <c r="I85" s="9">
        <v>2</v>
      </c>
      <c r="J85" s="13" t="s">
        <v>598</v>
      </c>
      <c r="K85" s="13" t="s">
        <v>340</v>
      </c>
    </row>
    <row r="86" spans="1:11" ht="28" customHeight="1">
      <c r="A86" s="9" t="s">
        <v>341</v>
      </c>
      <c r="B86" s="8">
        <v>46139</v>
      </c>
      <c r="C86" s="9" t="s">
        <v>34</v>
      </c>
      <c r="D86" s="9" t="s">
        <v>136</v>
      </c>
      <c r="E86" s="9" t="s">
        <v>564</v>
      </c>
      <c r="F86" s="9" t="s">
        <v>109</v>
      </c>
      <c r="G86" s="9" t="s">
        <v>342</v>
      </c>
      <c r="H86" s="8">
        <v>46139</v>
      </c>
      <c r="I86" s="9">
        <v>2</v>
      </c>
      <c r="J86" s="13" t="s">
        <v>599</v>
      </c>
      <c r="K86" s="13" t="s">
        <v>343</v>
      </c>
    </row>
    <row r="87" spans="1:11" ht="28" customHeight="1">
      <c r="A87" s="9" t="s">
        <v>344</v>
      </c>
      <c r="B87" s="8">
        <v>46139</v>
      </c>
      <c r="C87" s="9" t="s">
        <v>34</v>
      </c>
      <c r="D87" s="9" t="s">
        <v>224</v>
      </c>
      <c r="E87" s="9" t="s">
        <v>564</v>
      </c>
      <c r="F87" s="9" t="s">
        <v>109</v>
      </c>
      <c r="G87" s="9" t="s">
        <v>345</v>
      </c>
      <c r="H87" s="8">
        <v>46139</v>
      </c>
      <c r="I87" s="9">
        <v>2</v>
      </c>
      <c r="J87" s="13" t="s">
        <v>600</v>
      </c>
      <c r="K87" s="13" t="s">
        <v>346</v>
      </c>
    </row>
    <row r="88" spans="1:11" ht="28" customHeight="1">
      <c r="A88" s="9" t="s">
        <v>347</v>
      </c>
      <c r="B88" s="8">
        <v>46139</v>
      </c>
      <c r="C88" s="9" t="s">
        <v>34</v>
      </c>
      <c r="D88" s="9" t="s">
        <v>348</v>
      </c>
      <c r="E88" s="9" t="s">
        <v>564</v>
      </c>
      <c r="F88" s="9" t="s">
        <v>109</v>
      </c>
      <c r="G88" s="9" t="s">
        <v>349</v>
      </c>
      <c r="H88" s="8">
        <v>46139</v>
      </c>
      <c r="I88" s="9">
        <v>2</v>
      </c>
      <c r="J88" s="13" t="s">
        <v>601</v>
      </c>
      <c r="K88" s="13" t="s">
        <v>350</v>
      </c>
    </row>
    <row r="89" spans="1:11" ht="28" customHeight="1">
      <c r="A89" s="9" t="s">
        <v>347</v>
      </c>
      <c r="B89" s="8">
        <v>46139</v>
      </c>
      <c r="C89" s="9" t="s">
        <v>34</v>
      </c>
      <c r="D89" s="9" t="s">
        <v>560</v>
      </c>
      <c r="E89" s="9" t="s">
        <v>564</v>
      </c>
      <c r="F89" s="9" t="s">
        <v>109</v>
      </c>
      <c r="G89" s="9" t="s">
        <v>602</v>
      </c>
      <c r="H89" s="8">
        <v>46139</v>
      </c>
      <c r="I89" s="9">
        <v>2</v>
      </c>
      <c r="J89" s="13" t="s">
        <v>603</v>
      </c>
      <c r="K89" s="13" t="s">
        <v>350</v>
      </c>
    </row>
    <row r="90" spans="1:11" ht="28" customHeight="1">
      <c r="A90" s="9" t="s">
        <v>347</v>
      </c>
      <c r="B90" s="8">
        <v>46139</v>
      </c>
      <c r="C90" s="9" t="s">
        <v>34</v>
      </c>
      <c r="D90" s="9" t="s">
        <v>604</v>
      </c>
      <c r="E90" s="9" t="s">
        <v>550</v>
      </c>
      <c r="F90" s="9" t="s">
        <v>109</v>
      </c>
      <c r="G90" s="9" t="s">
        <v>605</v>
      </c>
      <c r="H90" s="9"/>
      <c r="I90" s="9">
        <v>1</v>
      </c>
      <c r="J90" s="13" t="s">
        <v>605</v>
      </c>
      <c r="K90" s="13" t="s">
        <v>350</v>
      </c>
    </row>
    <row r="91" spans="1:11" ht="28" customHeight="1">
      <c r="A91" s="9" t="s">
        <v>351</v>
      </c>
      <c r="B91" s="8">
        <v>46139</v>
      </c>
      <c r="C91" s="9" t="s">
        <v>34</v>
      </c>
      <c r="D91" s="9" t="s">
        <v>352</v>
      </c>
      <c r="E91" s="9" t="s">
        <v>564</v>
      </c>
      <c r="F91" s="9" t="s">
        <v>109</v>
      </c>
      <c r="G91" s="9" t="s">
        <v>353</v>
      </c>
      <c r="H91" s="8">
        <v>46139</v>
      </c>
      <c r="I91" s="9">
        <v>2</v>
      </c>
      <c r="J91" s="13" t="s">
        <v>606</v>
      </c>
      <c r="K91" s="13" t="s">
        <v>354</v>
      </c>
    </row>
    <row r="92" spans="1:11" ht="28" customHeight="1">
      <c r="A92" s="9" t="s">
        <v>355</v>
      </c>
      <c r="B92" s="8">
        <v>46139</v>
      </c>
      <c r="C92" s="9" t="s">
        <v>34</v>
      </c>
      <c r="D92" s="9" t="s">
        <v>356</v>
      </c>
      <c r="E92" s="9" t="s">
        <v>564</v>
      </c>
      <c r="F92" s="9" t="s">
        <v>109</v>
      </c>
      <c r="G92" s="9" t="s">
        <v>357</v>
      </c>
      <c r="H92" s="8">
        <v>46139</v>
      </c>
      <c r="I92" s="9">
        <v>2</v>
      </c>
      <c r="J92" s="13" t="s">
        <v>607</v>
      </c>
      <c r="K92" s="13" t="s">
        <v>358</v>
      </c>
    </row>
    <row r="93" spans="1:11" ht="28" customHeight="1">
      <c r="A93" s="9" t="s">
        <v>359</v>
      </c>
      <c r="B93" s="8">
        <v>46132</v>
      </c>
      <c r="C93" s="9" t="s">
        <v>305</v>
      </c>
      <c r="D93" s="9" t="s">
        <v>149</v>
      </c>
      <c r="E93" s="9" t="s">
        <v>564</v>
      </c>
      <c r="F93" s="9" t="s">
        <v>109</v>
      </c>
      <c r="G93" s="9" t="s">
        <v>360</v>
      </c>
      <c r="H93" s="8">
        <v>46132</v>
      </c>
      <c r="I93" s="9">
        <v>2</v>
      </c>
      <c r="J93" s="13" t="s">
        <v>608</v>
      </c>
      <c r="K93" s="13" t="s">
        <v>361</v>
      </c>
    </row>
    <row r="94" spans="1:11" ht="28" customHeight="1">
      <c r="A94" s="9" t="s">
        <v>362</v>
      </c>
      <c r="B94" s="8">
        <v>46132</v>
      </c>
      <c r="C94" s="9" t="s">
        <v>42</v>
      </c>
      <c r="D94" s="9" t="s">
        <v>363</v>
      </c>
      <c r="E94" s="9" t="s">
        <v>564</v>
      </c>
      <c r="F94" s="9" t="s">
        <v>109</v>
      </c>
      <c r="G94" s="9" t="s">
        <v>364</v>
      </c>
      <c r="H94" s="8">
        <v>46132</v>
      </c>
      <c r="I94" s="9">
        <v>2</v>
      </c>
      <c r="J94" s="13" t="s">
        <v>609</v>
      </c>
      <c r="K94" s="13" t="s">
        <v>365</v>
      </c>
    </row>
    <row r="95" spans="1:11" ht="28" customHeight="1">
      <c r="A95" s="9" t="s">
        <v>362</v>
      </c>
      <c r="B95" s="8">
        <v>46132</v>
      </c>
      <c r="C95" s="9" t="s">
        <v>42</v>
      </c>
      <c r="D95" s="9" t="s">
        <v>610</v>
      </c>
      <c r="E95" s="9" t="s">
        <v>550</v>
      </c>
      <c r="F95" s="9" t="s">
        <v>109</v>
      </c>
      <c r="G95" s="9" t="s">
        <v>611</v>
      </c>
      <c r="H95" s="9"/>
      <c r="I95" s="9">
        <v>1</v>
      </c>
      <c r="J95" s="13" t="s">
        <v>611</v>
      </c>
      <c r="K95" s="13" t="s">
        <v>365</v>
      </c>
    </row>
    <row r="96" spans="1:11" ht="28" customHeight="1">
      <c r="A96" s="9" t="s">
        <v>366</v>
      </c>
      <c r="B96" s="8">
        <v>46132</v>
      </c>
      <c r="C96" s="9" t="s">
        <v>42</v>
      </c>
      <c r="D96" s="9" t="s">
        <v>367</v>
      </c>
      <c r="E96" s="9" t="s">
        <v>564</v>
      </c>
      <c r="F96" s="9" t="s">
        <v>109</v>
      </c>
      <c r="G96" s="9" t="s">
        <v>368</v>
      </c>
      <c r="H96" s="8">
        <v>46132</v>
      </c>
      <c r="I96" s="9">
        <v>2</v>
      </c>
      <c r="J96" s="13" t="s">
        <v>612</v>
      </c>
      <c r="K96" s="13" t="s">
        <v>369</v>
      </c>
    </row>
    <row r="97" spans="1:11" ht="28" customHeight="1">
      <c r="A97" s="9" t="s">
        <v>370</v>
      </c>
      <c r="B97" s="8">
        <v>46128</v>
      </c>
      <c r="C97" s="9" t="s">
        <v>371</v>
      </c>
      <c r="D97" s="9" t="s">
        <v>367</v>
      </c>
      <c r="E97" s="9" t="s">
        <v>564</v>
      </c>
      <c r="F97" s="9" t="s">
        <v>109</v>
      </c>
      <c r="G97" s="9" t="s">
        <v>373</v>
      </c>
      <c r="H97" s="8">
        <v>46128</v>
      </c>
      <c r="I97" s="9">
        <v>2</v>
      </c>
      <c r="J97" s="13" t="s">
        <v>613</v>
      </c>
      <c r="K97" s="13" t="s">
        <v>374</v>
      </c>
    </row>
    <row r="98" spans="1:11" ht="28" customHeight="1">
      <c r="A98" s="9" t="s">
        <v>370</v>
      </c>
      <c r="B98" s="8">
        <v>46128</v>
      </c>
      <c r="C98" s="9" t="s">
        <v>371</v>
      </c>
      <c r="D98" s="9" t="s">
        <v>136</v>
      </c>
      <c r="E98" s="9" t="s">
        <v>564</v>
      </c>
      <c r="F98" s="9" t="s">
        <v>109</v>
      </c>
      <c r="G98" s="9" t="s">
        <v>614</v>
      </c>
      <c r="H98" s="8">
        <v>46128</v>
      </c>
      <c r="I98" s="9">
        <v>2</v>
      </c>
      <c r="J98" s="13" t="s">
        <v>615</v>
      </c>
      <c r="K98" s="13" t="s">
        <v>374</v>
      </c>
    </row>
    <row r="99" spans="1:11" ht="28" customHeight="1">
      <c r="A99" s="9" t="s">
        <v>370</v>
      </c>
      <c r="B99" s="8">
        <v>46128</v>
      </c>
      <c r="C99" s="9" t="s">
        <v>371</v>
      </c>
      <c r="D99" s="9" t="s">
        <v>616</v>
      </c>
      <c r="E99" s="9" t="s">
        <v>564</v>
      </c>
      <c r="F99" s="9" t="s">
        <v>109</v>
      </c>
      <c r="G99" s="9" t="s">
        <v>617</v>
      </c>
      <c r="H99" s="8">
        <v>46128</v>
      </c>
      <c r="I99" s="9">
        <v>2</v>
      </c>
      <c r="J99" s="13" t="s">
        <v>618</v>
      </c>
      <c r="K99" s="13" t="s">
        <v>374</v>
      </c>
    </row>
    <row r="100" spans="1:11" ht="28" customHeight="1">
      <c r="A100" s="9" t="s">
        <v>375</v>
      </c>
      <c r="B100" s="8">
        <v>46122</v>
      </c>
      <c r="C100" s="9" t="s">
        <v>372</v>
      </c>
      <c r="D100" s="9" t="s">
        <v>199</v>
      </c>
      <c r="E100" s="9" t="s">
        <v>564</v>
      </c>
      <c r="F100" s="9" t="s">
        <v>109</v>
      </c>
      <c r="G100" s="9" t="s">
        <v>376</v>
      </c>
      <c r="H100" s="8">
        <v>46122</v>
      </c>
      <c r="I100" s="9">
        <v>2</v>
      </c>
      <c r="J100" s="13" t="s">
        <v>619</v>
      </c>
      <c r="K100" s="13" t="s">
        <v>377</v>
      </c>
    </row>
    <row r="101" spans="1:11" ht="28" customHeight="1">
      <c r="A101" s="9" t="s">
        <v>378</v>
      </c>
      <c r="B101" s="8">
        <v>46122</v>
      </c>
      <c r="C101" s="9" t="s">
        <v>305</v>
      </c>
      <c r="D101" s="9" t="s">
        <v>149</v>
      </c>
      <c r="E101" s="9" t="s">
        <v>564</v>
      </c>
      <c r="F101" s="9" t="s">
        <v>109</v>
      </c>
      <c r="G101" s="9" t="s">
        <v>379</v>
      </c>
      <c r="H101" s="8">
        <v>46122</v>
      </c>
      <c r="I101" s="9">
        <v>2</v>
      </c>
      <c r="J101" s="13" t="s">
        <v>620</v>
      </c>
      <c r="K101" s="13" t="s">
        <v>380</v>
      </c>
    </row>
    <row r="102" spans="1:11" ht="28" customHeight="1">
      <c r="A102" s="9" t="s">
        <v>381</v>
      </c>
      <c r="B102" s="8">
        <v>46115</v>
      </c>
      <c r="C102" s="9" t="s">
        <v>305</v>
      </c>
      <c r="D102" s="9" t="s">
        <v>363</v>
      </c>
      <c r="E102" s="9" t="s">
        <v>564</v>
      </c>
      <c r="F102" s="9" t="s">
        <v>109</v>
      </c>
      <c r="G102" s="9" t="s">
        <v>382</v>
      </c>
      <c r="H102" s="8">
        <v>46115</v>
      </c>
      <c r="I102" s="9">
        <v>2</v>
      </c>
      <c r="J102" s="13" t="s">
        <v>621</v>
      </c>
      <c r="K102" s="13" t="s">
        <v>383</v>
      </c>
    </row>
    <row r="103" spans="1:11" ht="28" customHeight="1">
      <c r="A103" s="9" t="s">
        <v>384</v>
      </c>
      <c r="B103" s="8">
        <v>46115</v>
      </c>
      <c r="C103" s="9" t="s">
        <v>305</v>
      </c>
      <c r="D103" s="9" t="s">
        <v>224</v>
      </c>
      <c r="E103" s="9" t="s">
        <v>564</v>
      </c>
      <c r="F103" s="9" t="s">
        <v>109</v>
      </c>
      <c r="G103" s="9" t="s">
        <v>385</v>
      </c>
      <c r="H103" s="8">
        <v>46115</v>
      </c>
      <c r="I103" s="9">
        <v>2</v>
      </c>
      <c r="J103" s="13" t="s">
        <v>622</v>
      </c>
      <c r="K103" s="13" t="s">
        <v>386</v>
      </c>
    </row>
    <row r="104" spans="1:11" ht="28" customHeight="1">
      <c r="A104" s="9" t="s">
        <v>387</v>
      </c>
      <c r="B104" s="8">
        <v>46111</v>
      </c>
      <c r="C104" s="9" t="s">
        <v>372</v>
      </c>
      <c r="D104" s="9" t="s">
        <v>388</v>
      </c>
      <c r="E104" s="9" t="s">
        <v>564</v>
      </c>
      <c r="F104" s="9" t="s">
        <v>109</v>
      </c>
      <c r="G104" s="9" t="s">
        <v>389</v>
      </c>
      <c r="H104" s="8">
        <v>46111</v>
      </c>
      <c r="I104" s="9">
        <v>1</v>
      </c>
      <c r="J104" s="13" t="s">
        <v>389</v>
      </c>
      <c r="K104" s="13" t="s">
        <v>390</v>
      </c>
    </row>
    <row r="105" spans="1:11" ht="28" customHeight="1">
      <c r="A105" s="9" t="s">
        <v>391</v>
      </c>
      <c r="B105" s="8">
        <v>46111</v>
      </c>
      <c r="C105" s="9" t="s">
        <v>372</v>
      </c>
      <c r="D105" s="9" t="s">
        <v>199</v>
      </c>
      <c r="E105" s="9" t="s">
        <v>564</v>
      </c>
      <c r="F105" s="9" t="s">
        <v>109</v>
      </c>
      <c r="G105" s="9" t="s">
        <v>392</v>
      </c>
      <c r="H105" s="8">
        <v>46111</v>
      </c>
      <c r="I105" s="9">
        <v>1</v>
      </c>
      <c r="J105" s="13" t="s">
        <v>392</v>
      </c>
      <c r="K105" s="13" t="s">
        <v>393</v>
      </c>
    </row>
    <row r="106" spans="1:11" ht="28" customHeight="1">
      <c r="A106" s="9" t="s">
        <v>394</v>
      </c>
      <c r="B106" s="8">
        <v>46080</v>
      </c>
      <c r="C106" s="9" t="s">
        <v>48</v>
      </c>
      <c r="D106" s="9" t="s">
        <v>395</v>
      </c>
      <c r="E106" s="9" t="s">
        <v>564</v>
      </c>
      <c r="F106" s="9" t="s">
        <v>98</v>
      </c>
      <c r="G106" s="9" t="s">
        <v>396</v>
      </c>
      <c r="H106" s="8">
        <v>46080</v>
      </c>
      <c r="I106" s="9">
        <v>1</v>
      </c>
      <c r="J106" s="13" t="s">
        <v>396</v>
      </c>
      <c r="K106" s="13" t="s">
        <v>49</v>
      </c>
    </row>
    <row r="107" spans="1:11" ht="28" customHeight="1">
      <c r="A107" s="9" t="s">
        <v>397</v>
      </c>
      <c r="B107" s="8">
        <v>45729</v>
      </c>
      <c r="C107" s="9" t="s">
        <v>42</v>
      </c>
      <c r="D107" s="9" t="s">
        <v>294</v>
      </c>
      <c r="E107" s="9" t="s">
        <v>623</v>
      </c>
      <c r="F107" s="9" t="s">
        <v>98</v>
      </c>
      <c r="G107" s="9" t="s">
        <v>398</v>
      </c>
      <c r="H107" s="8">
        <v>45729</v>
      </c>
      <c r="I107" s="9">
        <v>1</v>
      </c>
      <c r="J107" s="13" t="s">
        <v>398</v>
      </c>
      <c r="K107" s="13" t="s">
        <v>399</v>
      </c>
    </row>
    <row r="108" spans="1:11" ht="28" customHeight="1">
      <c r="A108" s="9" t="s">
        <v>400</v>
      </c>
      <c r="B108" s="8">
        <v>45642</v>
      </c>
      <c r="C108" s="9" t="s">
        <v>34</v>
      </c>
      <c r="D108" s="9" t="s">
        <v>395</v>
      </c>
      <c r="E108" s="9" t="s">
        <v>564</v>
      </c>
      <c r="F108" s="9" t="s">
        <v>98</v>
      </c>
      <c r="G108" s="9" t="s">
        <v>401</v>
      </c>
      <c r="H108" s="8">
        <v>45642</v>
      </c>
      <c r="I108" s="9">
        <v>1</v>
      </c>
      <c r="J108" s="13" t="s">
        <v>401</v>
      </c>
      <c r="K108" s="13" t="s">
        <v>402</v>
      </c>
    </row>
    <row r="109" spans="1:11" ht="28" customHeight="1">
      <c r="A109" s="9" t="s">
        <v>403</v>
      </c>
      <c r="B109" s="8">
        <v>45611</v>
      </c>
      <c r="C109" s="9" t="s">
        <v>48</v>
      </c>
      <c r="D109" s="9" t="s">
        <v>395</v>
      </c>
      <c r="E109" s="9" t="s">
        <v>564</v>
      </c>
      <c r="F109" s="9" t="s">
        <v>98</v>
      </c>
      <c r="G109" s="9" t="s">
        <v>407</v>
      </c>
      <c r="H109" s="8">
        <v>45611</v>
      </c>
      <c r="I109" s="9">
        <v>1</v>
      </c>
      <c r="J109" s="13" t="s">
        <v>407</v>
      </c>
      <c r="K109" s="13" t="s">
        <v>408</v>
      </c>
    </row>
    <row r="110" spans="1:11" ht="28" customHeight="1">
      <c r="A110" s="9" t="s">
        <v>409</v>
      </c>
      <c r="B110" s="8">
        <v>45391</v>
      </c>
      <c r="C110" s="9" t="s">
        <v>48</v>
      </c>
      <c r="D110" s="9" t="s">
        <v>395</v>
      </c>
      <c r="E110" s="9" t="s">
        <v>564</v>
      </c>
      <c r="F110" s="9" t="s">
        <v>98</v>
      </c>
      <c r="G110" s="9" t="s">
        <v>411</v>
      </c>
      <c r="H110" s="8">
        <v>45391</v>
      </c>
      <c r="I110" s="9">
        <v>1</v>
      </c>
      <c r="J110" s="13" t="s">
        <v>411</v>
      </c>
      <c r="K110" s="13" t="s">
        <v>412</v>
      </c>
    </row>
    <row r="111" spans="1:11" ht="28" customHeight="1">
      <c r="A111" s="9" t="s">
        <v>413</v>
      </c>
      <c r="B111" s="8">
        <v>45357</v>
      </c>
      <c r="C111" s="9" t="s">
        <v>48</v>
      </c>
      <c r="D111" s="9" t="s">
        <v>395</v>
      </c>
      <c r="E111" s="9" t="s">
        <v>564</v>
      </c>
      <c r="F111" s="9" t="s">
        <v>98</v>
      </c>
      <c r="G111" s="9" t="s">
        <v>414</v>
      </c>
      <c r="H111" s="8">
        <v>45357</v>
      </c>
      <c r="I111" s="9">
        <v>1</v>
      </c>
      <c r="J111" s="13" t="s">
        <v>414</v>
      </c>
      <c r="K111" s="13" t="s">
        <v>408</v>
      </c>
    </row>
    <row r="112" spans="1:11" ht="28" customHeight="1">
      <c r="A112" s="9" t="s">
        <v>415</v>
      </c>
      <c r="B112" s="8">
        <v>45288</v>
      </c>
      <c r="C112" s="9" t="s">
        <v>416</v>
      </c>
      <c r="D112" s="9" t="s">
        <v>395</v>
      </c>
      <c r="E112" s="9" t="s">
        <v>564</v>
      </c>
      <c r="F112" s="9" t="s">
        <v>98</v>
      </c>
      <c r="G112" s="9" t="s">
        <v>418</v>
      </c>
      <c r="H112" s="8">
        <v>45288</v>
      </c>
      <c r="I112" s="9">
        <v>1</v>
      </c>
      <c r="J112" s="13" t="s">
        <v>418</v>
      </c>
      <c r="K112" s="13" t="s">
        <v>419</v>
      </c>
    </row>
    <row r="113" spans="1:11" ht="28" customHeight="1">
      <c r="A113" s="9" t="s">
        <v>420</v>
      </c>
      <c r="B113" s="8">
        <v>45190</v>
      </c>
      <c r="C113" s="9" t="s">
        <v>421</v>
      </c>
      <c r="D113" s="9" t="s">
        <v>430</v>
      </c>
      <c r="E113" s="9" t="s">
        <v>624</v>
      </c>
      <c r="F113" s="9" t="s">
        <v>98</v>
      </c>
      <c r="G113" s="9" t="s">
        <v>431</v>
      </c>
      <c r="H113" s="8">
        <v>45190</v>
      </c>
      <c r="I113" s="9">
        <v>1</v>
      </c>
      <c r="J113" s="13" t="s">
        <v>431</v>
      </c>
      <c r="K113" s="13" t="s">
        <v>432</v>
      </c>
    </row>
    <row r="114" spans="1:11" ht="28" customHeight="1">
      <c r="A114" s="9" t="s">
        <v>420</v>
      </c>
      <c r="B114" s="8">
        <v>45190</v>
      </c>
      <c r="C114" s="9" t="s">
        <v>421</v>
      </c>
      <c r="D114" s="9" t="s">
        <v>427</v>
      </c>
      <c r="E114" s="9" t="s">
        <v>625</v>
      </c>
      <c r="F114" s="9" t="s">
        <v>98</v>
      </c>
      <c r="G114" s="9" t="s">
        <v>524</v>
      </c>
      <c r="H114" s="8">
        <v>45008</v>
      </c>
      <c r="I114" s="9">
        <v>1</v>
      </c>
      <c r="J114" s="13" t="s">
        <v>524</v>
      </c>
      <c r="K114" s="13" t="s">
        <v>432</v>
      </c>
    </row>
    <row r="115" spans="1:11" ht="28" customHeight="1">
      <c r="A115" s="9" t="s">
        <v>433</v>
      </c>
      <c r="B115" s="8">
        <v>44707</v>
      </c>
      <c r="C115" s="9" t="s">
        <v>434</v>
      </c>
      <c r="D115" s="9" t="s">
        <v>441</v>
      </c>
      <c r="E115" s="9" t="s">
        <v>624</v>
      </c>
      <c r="F115" s="9" t="s">
        <v>98</v>
      </c>
      <c r="G115" s="9" t="s">
        <v>442</v>
      </c>
      <c r="H115" s="8">
        <v>44707</v>
      </c>
      <c r="I115" s="9">
        <v>1</v>
      </c>
      <c r="J115" s="13" t="s">
        <v>442</v>
      </c>
      <c r="K115" s="13" t="s">
        <v>443</v>
      </c>
    </row>
    <row r="116" spans="1:11" ht="28" customHeight="1">
      <c r="A116" s="9" t="s">
        <v>433</v>
      </c>
      <c r="B116" s="8">
        <v>44707</v>
      </c>
      <c r="C116" s="9" t="s">
        <v>434</v>
      </c>
      <c r="D116" s="9" t="s">
        <v>439</v>
      </c>
      <c r="E116" s="9" t="s">
        <v>625</v>
      </c>
      <c r="F116" s="9" t="s">
        <v>98</v>
      </c>
      <c r="G116" s="9" t="s">
        <v>525</v>
      </c>
      <c r="H116" s="8">
        <v>44644</v>
      </c>
      <c r="I116" s="9">
        <v>1</v>
      </c>
      <c r="J116" s="13" t="s">
        <v>525</v>
      </c>
      <c r="K116" s="13" t="s">
        <v>443</v>
      </c>
    </row>
    <row r="117" spans="1:11" ht="28" customHeight="1">
      <c r="A117" s="9" t="s">
        <v>444</v>
      </c>
      <c r="B117" s="8">
        <v>44640</v>
      </c>
      <c r="C117" s="9" t="s">
        <v>445</v>
      </c>
      <c r="D117" s="9" t="s">
        <v>451</v>
      </c>
      <c r="E117" s="9" t="s">
        <v>624</v>
      </c>
      <c r="F117" s="9" t="s">
        <v>98</v>
      </c>
      <c r="G117" s="9" t="s">
        <v>452</v>
      </c>
      <c r="H117" s="8">
        <v>44734</v>
      </c>
      <c r="I117" s="9">
        <v>1</v>
      </c>
      <c r="J117" s="13" t="s">
        <v>452</v>
      </c>
      <c r="K117" s="13" t="s">
        <v>453</v>
      </c>
    </row>
    <row r="118" spans="1:11" ht="28" customHeight="1">
      <c r="A118" s="9" t="s">
        <v>444</v>
      </c>
      <c r="B118" s="8">
        <v>44640</v>
      </c>
      <c r="C118" s="9" t="s">
        <v>445</v>
      </c>
      <c r="D118" s="9" t="s">
        <v>448</v>
      </c>
      <c r="E118" s="9" t="s">
        <v>625</v>
      </c>
      <c r="F118" s="9" t="s">
        <v>98</v>
      </c>
      <c r="G118" s="9" t="s">
        <v>526</v>
      </c>
      <c r="H118" s="8">
        <v>44643</v>
      </c>
      <c r="I118" s="9">
        <v>1</v>
      </c>
      <c r="J118" s="13" t="s">
        <v>526</v>
      </c>
      <c r="K118" s="13" t="s">
        <v>453</v>
      </c>
    </row>
    <row r="119" spans="1:11" ht="28" customHeight="1">
      <c r="A119" s="9" t="s">
        <v>454</v>
      </c>
      <c r="B119" s="8">
        <v>44592</v>
      </c>
      <c r="C119" s="9" t="s">
        <v>455</v>
      </c>
      <c r="D119" s="9" t="s">
        <v>460</v>
      </c>
      <c r="E119" s="9" t="s">
        <v>625</v>
      </c>
      <c r="F119" s="9" t="s">
        <v>98</v>
      </c>
      <c r="G119" s="9" t="s">
        <v>461</v>
      </c>
      <c r="H119" s="8">
        <v>44608</v>
      </c>
      <c r="I119" s="9">
        <v>1</v>
      </c>
      <c r="J119" s="13" t="s">
        <v>461</v>
      </c>
      <c r="K119" s="13" t="s">
        <v>462</v>
      </c>
    </row>
    <row r="120" spans="1:11" ht="28" customHeight="1">
      <c r="A120" s="9" t="s">
        <v>463</v>
      </c>
      <c r="B120" s="8">
        <v>44579</v>
      </c>
      <c r="C120" s="9" t="s">
        <v>464</v>
      </c>
      <c r="D120" s="9" t="s">
        <v>470</v>
      </c>
      <c r="E120" s="9" t="s">
        <v>624</v>
      </c>
      <c r="F120" s="9" t="s">
        <v>98</v>
      </c>
      <c r="G120" s="9" t="s">
        <v>471</v>
      </c>
      <c r="H120" s="8">
        <v>44579</v>
      </c>
      <c r="I120" s="9">
        <v>1</v>
      </c>
      <c r="J120" s="13" t="s">
        <v>471</v>
      </c>
      <c r="K120" s="13" t="s">
        <v>472</v>
      </c>
    </row>
    <row r="121" spans="1:11" ht="28" customHeight="1">
      <c r="A121" s="9" t="s">
        <v>463</v>
      </c>
      <c r="B121" s="8">
        <v>44579</v>
      </c>
      <c r="C121" s="9" t="s">
        <v>464</v>
      </c>
      <c r="D121" s="9" t="s">
        <v>468</v>
      </c>
      <c r="E121" s="9" t="s">
        <v>625</v>
      </c>
      <c r="F121" s="9" t="s">
        <v>98</v>
      </c>
      <c r="G121" s="9" t="s">
        <v>527</v>
      </c>
      <c r="H121" s="8">
        <v>44250</v>
      </c>
      <c r="I121" s="9">
        <v>1</v>
      </c>
      <c r="J121" s="13" t="s">
        <v>527</v>
      </c>
      <c r="K121" s="13" t="s">
        <v>472</v>
      </c>
    </row>
    <row r="122" spans="1:11" ht="28" customHeight="1">
      <c r="A122" s="9" t="s">
        <v>473</v>
      </c>
      <c r="B122" s="8">
        <v>44166</v>
      </c>
      <c r="C122" s="9" t="s">
        <v>474</v>
      </c>
      <c r="D122" s="9" t="s">
        <v>479</v>
      </c>
      <c r="E122" s="9" t="s">
        <v>624</v>
      </c>
      <c r="F122" s="9" t="s">
        <v>98</v>
      </c>
      <c r="G122" s="9" t="s">
        <v>480</v>
      </c>
      <c r="H122" s="8">
        <v>44166</v>
      </c>
      <c r="I122" s="9">
        <v>1</v>
      </c>
      <c r="J122" s="13" t="s">
        <v>480</v>
      </c>
      <c r="K122" s="13" t="s">
        <v>481</v>
      </c>
    </row>
    <row r="123" spans="1:11" ht="28" customHeight="1">
      <c r="A123" s="9" t="s">
        <v>473</v>
      </c>
      <c r="B123" s="8">
        <v>44166</v>
      </c>
      <c r="C123" s="9" t="s">
        <v>474</v>
      </c>
      <c r="D123" s="9" t="s">
        <v>477</v>
      </c>
      <c r="E123" s="9" t="s">
        <v>625</v>
      </c>
      <c r="F123" s="9" t="s">
        <v>98</v>
      </c>
      <c r="G123" s="9" t="s">
        <v>528</v>
      </c>
      <c r="H123" s="8">
        <v>43902</v>
      </c>
      <c r="I123" s="9">
        <v>1</v>
      </c>
      <c r="J123" s="13" t="s">
        <v>528</v>
      </c>
      <c r="K123" s="13" t="s">
        <v>481</v>
      </c>
    </row>
    <row r="124" spans="1:11" ht="28" customHeight="1">
      <c r="A124" s="9" t="s">
        <v>482</v>
      </c>
      <c r="B124" s="8">
        <v>44131</v>
      </c>
      <c r="C124" s="9" t="s">
        <v>483</v>
      </c>
      <c r="D124" s="9" t="s">
        <v>488</v>
      </c>
      <c r="E124" s="9" t="s">
        <v>624</v>
      </c>
      <c r="F124" s="9" t="s">
        <v>98</v>
      </c>
      <c r="G124" s="9" t="s">
        <v>489</v>
      </c>
      <c r="H124" s="8">
        <v>44131</v>
      </c>
      <c r="I124" s="9">
        <v>1</v>
      </c>
      <c r="J124" s="13" t="s">
        <v>489</v>
      </c>
      <c r="K124" s="13" t="s">
        <v>490</v>
      </c>
    </row>
    <row r="125" spans="1:11" ht="28" customHeight="1">
      <c r="A125" s="9" t="s">
        <v>482</v>
      </c>
      <c r="B125" s="8">
        <v>44131</v>
      </c>
      <c r="C125" s="9" t="s">
        <v>483</v>
      </c>
      <c r="D125" s="9" t="s">
        <v>486</v>
      </c>
      <c r="E125" s="9" t="s">
        <v>625</v>
      </c>
      <c r="F125" s="9" t="s">
        <v>98</v>
      </c>
      <c r="G125" s="9" t="s">
        <v>529</v>
      </c>
      <c r="H125" s="8">
        <v>43966</v>
      </c>
      <c r="I125" s="9">
        <v>1</v>
      </c>
      <c r="J125" s="13" t="s">
        <v>529</v>
      </c>
      <c r="K125" s="13" t="s">
        <v>490</v>
      </c>
    </row>
    <row r="126" spans="1:11" ht="28" customHeight="1">
      <c r="A126" s="9" t="s">
        <v>491</v>
      </c>
      <c r="B126" s="8">
        <v>43626</v>
      </c>
      <c r="C126" s="9" t="s">
        <v>492</v>
      </c>
      <c r="D126" s="9" t="s">
        <v>479</v>
      </c>
      <c r="E126" s="9" t="s">
        <v>624</v>
      </c>
      <c r="F126" s="9" t="s">
        <v>98</v>
      </c>
      <c r="G126" s="9" t="s">
        <v>496</v>
      </c>
      <c r="H126" s="8">
        <v>43626</v>
      </c>
      <c r="I126" s="9">
        <v>1</v>
      </c>
      <c r="J126" s="13" t="s">
        <v>496</v>
      </c>
      <c r="K126" s="13" t="s">
        <v>497</v>
      </c>
    </row>
    <row r="127" spans="1:11" ht="28" customHeight="1">
      <c r="A127" s="9" t="s">
        <v>491</v>
      </c>
      <c r="B127" s="8">
        <v>43626</v>
      </c>
      <c r="C127" s="9" t="s">
        <v>492</v>
      </c>
      <c r="D127" s="9" t="s">
        <v>494</v>
      </c>
      <c r="E127" s="9" t="s">
        <v>625</v>
      </c>
      <c r="F127" s="9" t="s">
        <v>98</v>
      </c>
      <c r="G127" s="9" t="s">
        <v>530</v>
      </c>
      <c r="H127" s="8">
        <v>43518</v>
      </c>
      <c r="I127" s="9">
        <v>1</v>
      </c>
      <c r="J127" s="13" t="s">
        <v>530</v>
      </c>
      <c r="K127" s="13" t="s">
        <v>497</v>
      </c>
    </row>
    <row r="128" spans="1:11" ht="28" customHeight="1">
      <c r="A128" s="9" t="s">
        <v>498</v>
      </c>
      <c r="B128" s="8">
        <v>43401</v>
      </c>
      <c r="C128" s="9" t="s">
        <v>499</v>
      </c>
      <c r="D128" s="9" t="s">
        <v>504</v>
      </c>
      <c r="E128" s="9" t="s">
        <v>624</v>
      </c>
      <c r="F128" s="9" t="s">
        <v>98</v>
      </c>
      <c r="G128" s="9" t="s">
        <v>505</v>
      </c>
      <c r="H128" s="8">
        <v>43401</v>
      </c>
      <c r="I128" s="9">
        <v>1</v>
      </c>
      <c r="J128" s="13" t="s">
        <v>505</v>
      </c>
      <c r="K128" s="13" t="s">
        <v>506</v>
      </c>
    </row>
    <row r="129" spans="1:11" ht="28" customHeight="1">
      <c r="A129" s="9" t="s">
        <v>498</v>
      </c>
      <c r="B129" s="8">
        <v>43401</v>
      </c>
      <c r="C129" s="9" t="s">
        <v>499</v>
      </c>
      <c r="D129" s="9" t="s">
        <v>502</v>
      </c>
      <c r="E129" s="9" t="s">
        <v>625</v>
      </c>
      <c r="F129" s="9" t="s">
        <v>98</v>
      </c>
      <c r="G129" s="9" t="s">
        <v>531</v>
      </c>
      <c r="H129" s="8">
        <v>43215</v>
      </c>
      <c r="I129" s="9">
        <v>1</v>
      </c>
      <c r="J129" s="13" t="s">
        <v>531</v>
      </c>
      <c r="K129" s="13" t="s">
        <v>506</v>
      </c>
    </row>
    <row r="130" spans="1:11" ht="28" customHeight="1">
      <c r="A130" s="9" t="s">
        <v>507</v>
      </c>
      <c r="B130" s="8">
        <v>42534</v>
      </c>
      <c r="C130" s="9" t="s">
        <v>508</v>
      </c>
      <c r="D130" s="9" t="s">
        <v>470</v>
      </c>
      <c r="E130" s="9" t="s">
        <v>624</v>
      </c>
      <c r="F130" s="9" t="s">
        <v>98</v>
      </c>
      <c r="G130" s="9" t="s">
        <v>512</v>
      </c>
      <c r="H130" s="8">
        <v>42534</v>
      </c>
      <c r="I130" s="9">
        <v>1</v>
      </c>
      <c r="J130" s="13" t="s">
        <v>512</v>
      </c>
      <c r="K130" s="13" t="s">
        <v>513</v>
      </c>
    </row>
    <row r="131" spans="1:11" ht="28" customHeight="1">
      <c r="A131" s="9" t="s">
        <v>507</v>
      </c>
      <c r="B131" s="8">
        <v>42534</v>
      </c>
      <c r="C131" s="9" t="s">
        <v>508</v>
      </c>
      <c r="D131" s="9" t="s">
        <v>510</v>
      </c>
      <c r="E131" s="9" t="s">
        <v>625</v>
      </c>
      <c r="F131" s="9" t="s">
        <v>98</v>
      </c>
      <c r="G131" s="9" t="s">
        <v>532</v>
      </c>
      <c r="H131" s="8">
        <v>42412</v>
      </c>
      <c r="I131" s="9">
        <v>1</v>
      </c>
      <c r="J131" s="13" t="s">
        <v>532</v>
      </c>
      <c r="K131" s="13" t="s">
        <v>513</v>
      </c>
    </row>
  </sheetData>
  <mergeCells count="4">
    <mergeCell ref="A1:R1"/>
    <mergeCell ref="A2:R2"/>
    <mergeCell ref="M4:R4"/>
    <mergeCell ref="M16:Q16"/>
  </mergeCells>
  <hyperlinks>
    <hyperlink ref="G7" r:id="rId1"/>
    <hyperlink ref="J7" r:id="rId2"/>
    <hyperlink ref="G8" r:id="rId3"/>
    <hyperlink ref="J8" r:id="rId4"/>
    <hyperlink ref="G9" r:id="rId5"/>
    <hyperlink ref="J9" r:id="rId6"/>
    <hyperlink ref="G10" r:id="rId7"/>
    <hyperlink ref="J10" r:id="rId8"/>
    <hyperlink ref="G11" r:id="rId9"/>
    <hyperlink ref="J11" r:id="rId10"/>
    <hyperlink ref="G12" r:id="rId11"/>
    <hyperlink ref="J12" r:id="rId12"/>
    <hyperlink ref="G13" r:id="rId13"/>
    <hyperlink ref="J13" r:id="rId14"/>
    <hyperlink ref="G14" r:id="rId15"/>
    <hyperlink ref="J14" r:id="rId16"/>
    <hyperlink ref="G15" r:id="rId17"/>
    <hyperlink ref="J15" r:id="rId18"/>
    <hyperlink ref="G16" r:id="rId19"/>
    <hyperlink ref="J16" r:id="rId20"/>
    <hyperlink ref="G17" r:id="rId21"/>
    <hyperlink ref="J17" r:id="rId22"/>
    <hyperlink ref="G18" r:id="rId23"/>
    <hyperlink ref="J18" r:id="rId24"/>
    <hyperlink ref="G19" r:id="rId25"/>
    <hyperlink ref="J19" r:id="rId26"/>
    <hyperlink ref="G20" r:id="rId27"/>
    <hyperlink ref="J20" r:id="rId28"/>
    <hyperlink ref="G21" r:id="rId29"/>
    <hyperlink ref="J21" r:id="rId30"/>
    <hyperlink ref="G22" r:id="rId31"/>
    <hyperlink ref="J22" r:id="rId32"/>
    <hyperlink ref="G23" r:id="rId33"/>
    <hyperlink ref="J23" r:id="rId34"/>
    <hyperlink ref="G24" r:id="rId35"/>
    <hyperlink ref="J24" r:id="rId36"/>
    <hyperlink ref="G25" r:id="rId37"/>
    <hyperlink ref="J25" r:id="rId38"/>
    <hyperlink ref="G26" r:id="rId39"/>
    <hyperlink ref="J26" r:id="rId40"/>
    <hyperlink ref="G27" r:id="rId41"/>
    <hyperlink ref="J27" r:id="rId42"/>
    <hyperlink ref="G28" r:id="rId43"/>
    <hyperlink ref="J28" r:id="rId44"/>
    <hyperlink ref="G29" r:id="rId45"/>
    <hyperlink ref="J29" r:id="rId46"/>
    <hyperlink ref="G30" r:id="rId47"/>
    <hyperlink ref="J30" r:id="rId48"/>
    <hyperlink ref="G31" r:id="rId49"/>
    <hyperlink ref="J31" r:id="rId50"/>
    <hyperlink ref="G32" r:id="rId51"/>
    <hyperlink ref="J32" r:id="rId52"/>
    <hyperlink ref="G33" r:id="rId53"/>
    <hyperlink ref="J33" r:id="rId54"/>
    <hyperlink ref="G34" r:id="rId55"/>
    <hyperlink ref="J34" r:id="rId56"/>
    <hyperlink ref="G35" r:id="rId57"/>
    <hyperlink ref="J35" r:id="rId58"/>
    <hyperlink ref="G36" r:id="rId59"/>
    <hyperlink ref="J36" r:id="rId60"/>
    <hyperlink ref="G37" r:id="rId61"/>
    <hyperlink ref="J37" r:id="rId62"/>
    <hyperlink ref="G38" r:id="rId63"/>
    <hyperlink ref="J38" r:id="rId64"/>
    <hyperlink ref="G39" r:id="rId65"/>
    <hyperlink ref="J39" r:id="rId66"/>
    <hyperlink ref="G40" r:id="rId67"/>
    <hyperlink ref="J40" r:id="rId68"/>
    <hyperlink ref="G41" r:id="rId69"/>
    <hyperlink ref="J41" r:id="rId70"/>
    <hyperlink ref="G42" r:id="rId71"/>
    <hyperlink ref="J42" r:id="rId72"/>
    <hyperlink ref="G43" r:id="rId73"/>
    <hyperlink ref="J43" r:id="rId74"/>
    <hyperlink ref="G44" r:id="rId75"/>
    <hyperlink ref="J44" r:id="rId76"/>
    <hyperlink ref="G45" r:id="rId77"/>
    <hyperlink ref="J45" r:id="rId78"/>
    <hyperlink ref="G46" r:id="rId79"/>
    <hyperlink ref="J46" r:id="rId80"/>
    <hyperlink ref="G47" r:id="rId81"/>
    <hyperlink ref="J47" r:id="rId82"/>
    <hyperlink ref="G48" r:id="rId83"/>
    <hyperlink ref="J48" r:id="rId84"/>
    <hyperlink ref="G49" r:id="rId85"/>
    <hyperlink ref="J49" r:id="rId86"/>
    <hyperlink ref="G50" r:id="rId87"/>
    <hyperlink ref="J50" r:id="rId88"/>
    <hyperlink ref="G51" r:id="rId89"/>
    <hyperlink ref="J51" r:id="rId90"/>
    <hyperlink ref="G52" r:id="rId91"/>
    <hyperlink ref="J52" r:id="rId92"/>
    <hyperlink ref="G53" r:id="rId93"/>
    <hyperlink ref="J53" r:id="rId94"/>
    <hyperlink ref="G54" r:id="rId95"/>
    <hyperlink ref="J54" r:id="rId96"/>
    <hyperlink ref="G55" r:id="rId97"/>
    <hyperlink ref="J55" r:id="rId98"/>
    <hyperlink ref="G56" r:id="rId99"/>
    <hyperlink ref="J56" r:id="rId100"/>
    <hyperlink ref="G57" r:id="rId101"/>
    <hyperlink ref="J57" r:id="rId102"/>
    <hyperlink ref="G58" r:id="rId103"/>
    <hyperlink ref="J58" r:id="rId104"/>
    <hyperlink ref="G59" r:id="rId105"/>
    <hyperlink ref="J59" r:id="rId106"/>
    <hyperlink ref="G60" r:id="rId107"/>
    <hyperlink ref="J60" r:id="rId108"/>
    <hyperlink ref="G61" r:id="rId109"/>
    <hyperlink ref="J61" r:id="rId110"/>
    <hyperlink ref="G62" r:id="rId111"/>
    <hyperlink ref="J62" r:id="rId112"/>
    <hyperlink ref="G63" r:id="rId113"/>
    <hyperlink ref="J63" r:id="rId114"/>
    <hyperlink ref="G64" r:id="rId115"/>
    <hyperlink ref="J64" r:id="rId116"/>
    <hyperlink ref="G65" r:id="rId117"/>
    <hyperlink ref="J65" r:id="rId118"/>
    <hyperlink ref="G66" r:id="rId119"/>
    <hyperlink ref="J66" r:id="rId120"/>
    <hyperlink ref="G67" r:id="rId121"/>
    <hyperlink ref="J67" r:id="rId122"/>
    <hyperlink ref="G68" r:id="rId123"/>
    <hyperlink ref="J68" r:id="rId124"/>
    <hyperlink ref="G69" r:id="rId125"/>
    <hyperlink ref="J69" r:id="rId126"/>
    <hyperlink ref="G70" r:id="rId127"/>
    <hyperlink ref="J70" r:id="rId128"/>
    <hyperlink ref="G71" r:id="rId129"/>
    <hyperlink ref="J71" r:id="rId130"/>
    <hyperlink ref="G72" r:id="rId131"/>
    <hyperlink ref="J72" r:id="rId132"/>
    <hyperlink ref="G73" r:id="rId133"/>
    <hyperlink ref="J73" r:id="rId134"/>
    <hyperlink ref="G74" r:id="rId135"/>
    <hyperlink ref="J74" r:id="rId136"/>
    <hyperlink ref="G75" r:id="rId137"/>
    <hyperlink ref="J75" r:id="rId138"/>
    <hyperlink ref="G76" r:id="rId139"/>
    <hyperlink ref="J76" r:id="rId140"/>
    <hyperlink ref="G77" r:id="rId141"/>
    <hyperlink ref="J77" r:id="rId142"/>
    <hyperlink ref="G78" r:id="rId143"/>
    <hyperlink ref="J78" r:id="rId144"/>
    <hyperlink ref="G79" r:id="rId145"/>
    <hyperlink ref="J79" r:id="rId146"/>
    <hyperlink ref="G80" r:id="rId147"/>
    <hyperlink ref="J80" r:id="rId148"/>
    <hyperlink ref="G81" r:id="rId149"/>
    <hyperlink ref="J81" r:id="rId150"/>
    <hyperlink ref="G82" r:id="rId151"/>
    <hyperlink ref="J82" r:id="rId152"/>
    <hyperlink ref="G83" r:id="rId153"/>
    <hyperlink ref="J83" r:id="rId154"/>
    <hyperlink ref="G84" r:id="rId155"/>
    <hyperlink ref="J84" r:id="rId156"/>
    <hyperlink ref="G85" r:id="rId157"/>
    <hyperlink ref="J85" r:id="rId158"/>
    <hyperlink ref="G86" r:id="rId159"/>
    <hyperlink ref="J86" r:id="rId160"/>
    <hyperlink ref="G87" r:id="rId161"/>
    <hyperlink ref="J87" r:id="rId162"/>
    <hyperlink ref="G88" r:id="rId163"/>
    <hyperlink ref="J88" r:id="rId164"/>
    <hyperlink ref="G89" r:id="rId165"/>
    <hyperlink ref="J89" r:id="rId166"/>
    <hyperlink ref="G90" r:id="rId167"/>
    <hyperlink ref="J90" r:id="rId168"/>
    <hyperlink ref="G91" r:id="rId169"/>
    <hyperlink ref="J91" r:id="rId170"/>
    <hyperlink ref="G92" r:id="rId171"/>
    <hyperlink ref="J92" r:id="rId172"/>
    <hyperlink ref="G93" r:id="rId173"/>
    <hyperlink ref="J93" r:id="rId174"/>
    <hyperlink ref="D94" r:id="rId175"/>
    <hyperlink ref="G94" r:id="rId176"/>
    <hyperlink ref="J94" r:id="rId177"/>
    <hyperlink ref="G95" r:id="rId178"/>
    <hyperlink ref="J95" r:id="rId179"/>
    <hyperlink ref="G96" r:id="rId180"/>
    <hyperlink ref="J96" r:id="rId181"/>
    <hyperlink ref="G97" r:id="rId182"/>
    <hyperlink ref="J97" r:id="rId183"/>
    <hyperlink ref="G98" r:id="rId184"/>
    <hyperlink ref="J98" r:id="rId185"/>
    <hyperlink ref="G99" r:id="rId186"/>
    <hyperlink ref="J99" r:id="rId187"/>
    <hyperlink ref="G100" r:id="rId188"/>
    <hyperlink ref="J100" r:id="rId189"/>
    <hyperlink ref="G101" r:id="rId190"/>
    <hyperlink ref="J101" r:id="rId191"/>
    <hyperlink ref="D102" r:id="rId192"/>
    <hyperlink ref="G102" r:id="rId193"/>
    <hyperlink ref="J102" r:id="rId194"/>
    <hyperlink ref="G103" r:id="rId195"/>
    <hyperlink ref="J103" r:id="rId196"/>
    <hyperlink ref="G104" r:id="rId197"/>
    <hyperlink ref="J104" r:id="rId198"/>
    <hyperlink ref="G105" r:id="rId199"/>
    <hyperlink ref="J105" r:id="rId200"/>
    <hyperlink ref="G106" r:id="rId201"/>
    <hyperlink ref="J106" r:id="rId202"/>
    <hyperlink ref="G107" r:id="rId203"/>
    <hyperlink ref="J107" r:id="rId204"/>
    <hyperlink ref="G108" r:id="rId205"/>
    <hyperlink ref="J108" r:id="rId206"/>
    <hyperlink ref="G109" r:id="rId207"/>
    <hyperlink ref="J109" r:id="rId208"/>
    <hyperlink ref="G110" r:id="rId209"/>
    <hyperlink ref="J110" r:id="rId210"/>
    <hyperlink ref="G111" r:id="rId211"/>
    <hyperlink ref="J111" r:id="rId212"/>
    <hyperlink ref="G112" r:id="rId213"/>
    <hyperlink ref="J112" r:id="rId214"/>
    <hyperlink ref="G113" r:id="rId215"/>
    <hyperlink ref="J113" r:id="rId216"/>
    <hyperlink ref="G114" r:id="rId217"/>
    <hyperlink ref="J114" r:id="rId218"/>
    <hyperlink ref="G115" r:id="rId219"/>
    <hyperlink ref="J115" r:id="rId220"/>
    <hyperlink ref="G116" r:id="rId221"/>
    <hyperlink ref="J116" r:id="rId222"/>
    <hyperlink ref="G117" r:id="rId223"/>
    <hyperlink ref="J117" r:id="rId224"/>
    <hyperlink ref="G118" r:id="rId225"/>
    <hyperlink ref="J118" r:id="rId226"/>
    <hyperlink ref="G119" r:id="rId227"/>
    <hyperlink ref="J119" r:id="rId228"/>
    <hyperlink ref="G120" r:id="rId229"/>
    <hyperlink ref="J120" r:id="rId230"/>
    <hyperlink ref="G121" r:id="rId231"/>
    <hyperlink ref="J121" r:id="rId232"/>
    <hyperlink ref="G122" r:id="rId233"/>
    <hyperlink ref="J122" r:id="rId234"/>
    <hyperlink ref="G123" r:id="rId235"/>
    <hyperlink ref="J123" r:id="rId236"/>
    <hyperlink ref="G124" r:id="rId237"/>
    <hyperlink ref="J124" r:id="rId238"/>
    <hyperlink ref="G125" r:id="rId239"/>
    <hyperlink ref="J125" r:id="rId240"/>
    <hyperlink ref="G126" r:id="rId241"/>
    <hyperlink ref="J126" r:id="rId242"/>
    <hyperlink ref="G127" r:id="rId243"/>
    <hyperlink ref="J127" r:id="rId244"/>
    <hyperlink ref="G128" r:id="rId245"/>
    <hyperlink ref="J128" r:id="rId246"/>
    <hyperlink ref="G129" r:id="rId247"/>
    <hyperlink ref="J129" r:id="rId248"/>
    <hyperlink ref="G130" r:id="rId249"/>
    <hyperlink ref="J130" r:id="rId250"/>
    <hyperlink ref="G131" r:id="rId251"/>
    <hyperlink ref="J131" r:id="rId252"/>
  </hyperlinks>
  <pageMargins left="0.7" right="0.7" top="0.75" bottom="0.75" header="0.3" footer="0.3"/>
  <tableParts count="1">
    <tablePart r:id="rId2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Deals</vt:lpstr>
      <vt:lpstr>Financials</vt:lpstr>
      <vt:lpstr>Multiples</vt:lpstr>
      <vt:lpstr>Sources &amp; 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2026-07-08T08:31:31Z</dcterms:created>
  <dcterms:modified xsi:type="dcterms:W3CDTF">2026-07-08T08:31:31Z</dcterms:modified>
</cp:coreProperties>
</file>